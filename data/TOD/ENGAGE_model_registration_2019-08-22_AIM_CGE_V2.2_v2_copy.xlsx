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7" documentId="8_{CFE6C164-968B-4479-BE43-974A7E660D59}" xr6:coauthVersionLast="47" xr6:coauthVersionMax="47" xr10:uidLastSave="{52478F25-DDC9-45F0-AAC4-A2B4C40B60B7}"/>
  <bookViews>
    <workbookView xWindow="-108" yWindow="-108" windowWidth="23256" windowHeight="12576" firstSheet="1" activeTab="3" xr2:uid="{00000000-000D-0000-FFFF-FFFF00000000}"/>
  </bookViews>
  <sheets>
    <sheet name="instructions" sheetId="9" r:id="rId1"/>
    <sheet name="model regions" sheetId="2" r:id="rId2"/>
    <sheet name="region aggregation" sheetId="5" r:id="rId3"/>
    <sheet name="regional definition" sheetId="6" r:id="rId4"/>
  </sheets>
  <definedNames>
    <definedName name="_xlnm._FilterDatabase" localSheetId="3" hidden="1">'regional definition'!$A$1:$W$248</definedName>
    <definedName name="AreaUnderMACYN">#REF!</definedName>
    <definedName name="BioenergyCropsYN">#REF!</definedName>
    <definedName name="BurdenSharing">#REF!</definedName>
    <definedName name="CapitalYN">#REF!</definedName>
    <definedName name="ClimateChange">#REF!</definedName>
    <definedName name="CoalYN">#REF!</definedName>
    <definedName name="ConsumptionLossYN">#REF!</definedName>
    <definedName name="ElectricityYN">#REF!</definedName>
    <definedName name="EmissionsPermitsYN">#REF!</definedName>
    <definedName name="EnergySystemCostMarkUpYN">#REF!</definedName>
    <definedName name="EquivalentVariationYN">#REF!</definedName>
    <definedName name="FoodCropsYN">#REF!</definedName>
    <definedName name="GasYN">#REF!</definedName>
    <definedName name="GDPLossYN">#REF!</definedName>
    <definedName name="ModelTypeSolutionConcept">#REF!</definedName>
    <definedName name="ModelTypeSolutionHorizon">#REF!</definedName>
    <definedName name="ModelTypeSolutionMethod">#REF!</definedName>
    <definedName name="ModelVersionStatus">#REF!</definedName>
    <definedName name="OilYN">#REF!</definedName>
    <definedName name="Overshoot">#REF!</definedName>
    <definedName name="ProcessedGoodsYN">#REF!</definedName>
    <definedName name="RegionalCoverage">#REF!</definedName>
    <definedName name="ScenarioType">#REF!</definedName>
    <definedName name="TechFlex">#REF!</definedName>
    <definedName name="UraniumYN">#REF!</definedName>
    <definedName name="WelfareLossYN">#REF!</definedName>
    <definedName name="WhatFlex">#REF!</definedName>
    <definedName name="WhenFlex">#REF!</definedName>
    <definedName name="WhenFlex2">#REF!</definedName>
    <definedName name="YN">#REF!</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6" l="1"/>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 i="6"/>
  <c r="E7" i="6"/>
  <c r="L7" i="6"/>
  <c r="U3" i="6"/>
  <c r="E65" i="6"/>
  <c r="L65" i="6"/>
  <c r="U4" i="6"/>
  <c r="E13" i="6"/>
  <c r="L13" i="6"/>
  <c r="U5" i="6"/>
  <c r="E8" i="6"/>
  <c r="L8" i="6"/>
  <c r="U6" i="6"/>
  <c r="E4" i="6"/>
  <c r="L4" i="6"/>
  <c r="U7" i="6"/>
  <c r="E16" i="6"/>
  <c r="L16" i="6"/>
  <c r="U8" i="6"/>
  <c r="E11" i="6"/>
  <c r="L11" i="6"/>
  <c r="U9" i="6"/>
  <c r="E12" i="6"/>
  <c r="L12" i="6"/>
  <c r="U10" i="6"/>
  <c r="E2" i="6"/>
  <c r="L2" i="6"/>
  <c r="U11" i="6"/>
  <c r="E17" i="6"/>
  <c r="L17" i="6"/>
  <c r="U12" i="6"/>
  <c r="E18" i="6"/>
  <c r="L18" i="6"/>
  <c r="U13" i="6"/>
  <c r="E19" i="6"/>
  <c r="L19" i="6"/>
  <c r="U14" i="6"/>
  <c r="E27" i="6"/>
  <c r="L27" i="6"/>
  <c r="U15" i="6"/>
  <c r="E26" i="6"/>
  <c r="L26" i="6"/>
  <c r="U16" i="6"/>
  <c r="E24" i="6"/>
  <c r="L24" i="6"/>
  <c r="U17" i="6"/>
  <c r="E35" i="6"/>
  <c r="L35" i="6"/>
  <c r="U18" i="6"/>
  <c r="E30" i="6"/>
  <c r="L30" i="6"/>
  <c r="U19" i="6"/>
  <c r="E21" i="6"/>
  <c r="L21" i="6"/>
  <c r="U20" i="6"/>
  <c r="E31" i="6"/>
  <c r="L31" i="6"/>
  <c r="U21" i="6"/>
  <c r="E22" i="6"/>
  <c r="L22" i="6"/>
  <c r="U22" i="6"/>
  <c r="E32" i="6"/>
  <c r="L32" i="6"/>
  <c r="U23" i="6"/>
  <c r="E37" i="6"/>
  <c r="L37" i="6"/>
  <c r="U24" i="6"/>
  <c r="E33" i="6"/>
  <c r="L33" i="6"/>
  <c r="U25" i="6"/>
  <c r="E28" i="6"/>
  <c r="L28" i="6"/>
  <c r="U26" i="6"/>
  <c r="E39" i="6"/>
  <c r="L39" i="6"/>
  <c r="U27" i="6"/>
  <c r="E34" i="6"/>
  <c r="L34" i="6"/>
  <c r="U28" i="6"/>
  <c r="E239" i="6"/>
  <c r="L239" i="6"/>
  <c r="U29" i="6"/>
  <c r="E36" i="6"/>
  <c r="L36" i="6"/>
  <c r="U30" i="6"/>
  <c r="E25" i="6"/>
  <c r="L25" i="6"/>
  <c r="U31" i="6"/>
  <c r="E23" i="6"/>
  <c r="L23" i="6"/>
  <c r="U32" i="6"/>
  <c r="E20" i="6"/>
  <c r="L20" i="6"/>
  <c r="U33" i="6"/>
  <c r="E53" i="6"/>
  <c r="L53" i="6"/>
  <c r="U34" i="6"/>
  <c r="E120" i="6"/>
  <c r="L120" i="6"/>
  <c r="U35" i="6"/>
  <c r="E47" i="6"/>
  <c r="L47" i="6"/>
  <c r="U36" i="6"/>
  <c r="E41" i="6"/>
  <c r="L41" i="6"/>
  <c r="U37" i="6"/>
  <c r="E57" i="6"/>
  <c r="L57" i="6"/>
  <c r="U38" i="6"/>
  <c r="E40" i="6"/>
  <c r="L40" i="6"/>
  <c r="U39" i="6"/>
  <c r="E216" i="6"/>
  <c r="L216" i="6"/>
  <c r="U40" i="6"/>
  <c r="E44" i="6"/>
  <c r="L44" i="6"/>
  <c r="U42" i="6"/>
  <c r="E45" i="6"/>
  <c r="L45" i="6"/>
  <c r="U43" i="6"/>
  <c r="E51" i="6"/>
  <c r="L51" i="6"/>
  <c r="U44" i="6"/>
  <c r="E52" i="6"/>
  <c r="L52" i="6"/>
  <c r="U45" i="6"/>
  <c r="E48" i="6"/>
  <c r="L48" i="6"/>
  <c r="U46" i="6"/>
  <c r="E49" i="6"/>
  <c r="L49" i="6"/>
  <c r="U47" i="6"/>
  <c r="E54" i="6"/>
  <c r="L54" i="6"/>
  <c r="U48" i="6"/>
  <c r="E46" i="6"/>
  <c r="L46" i="6"/>
  <c r="U49" i="6"/>
  <c r="E100" i="6"/>
  <c r="L100" i="6"/>
  <c r="U50" i="6"/>
  <c r="E55" i="6"/>
  <c r="L55" i="6"/>
  <c r="U51" i="6"/>
  <c r="E58" i="6"/>
  <c r="L58" i="6"/>
  <c r="U53" i="6"/>
  <c r="E59" i="6"/>
  <c r="L59" i="6"/>
  <c r="U54" i="6"/>
  <c r="E63" i="6"/>
  <c r="L63" i="6"/>
  <c r="U55" i="6"/>
  <c r="E61" i="6"/>
  <c r="L61" i="6"/>
  <c r="U56" i="6"/>
  <c r="E62" i="6"/>
  <c r="L62" i="6"/>
  <c r="U57" i="6"/>
  <c r="E64" i="6"/>
  <c r="L64" i="6"/>
  <c r="U58" i="6"/>
  <c r="E66" i="6"/>
  <c r="L66" i="6"/>
  <c r="U59" i="6"/>
  <c r="E67" i="6"/>
  <c r="L67" i="6"/>
  <c r="U60" i="6"/>
  <c r="E201" i="6"/>
  <c r="L201" i="6"/>
  <c r="U61" i="6"/>
  <c r="E89" i="6"/>
  <c r="L89" i="6"/>
  <c r="U62" i="6"/>
  <c r="E68" i="6"/>
  <c r="L68" i="6"/>
  <c r="U63" i="6"/>
  <c r="E71" i="6"/>
  <c r="L71" i="6"/>
  <c r="U64" i="6"/>
  <c r="E212" i="6"/>
  <c r="L212" i="6"/>
  <c r="U65" i="6"/>
  <c r="E72" i="6"/>
  <c r="L72" i="6"/>
  <c r="U66" i="6"/>
  <c r="E77" i="6"/>
  <c r="L77" i="6"/>
  <c r="U67" i="6"/>
  <c r="E74" i="6"/>
  <c r="L74" i="6"/>
  <c r="U68" i="6"/>
  <c r="E73" i="6"/>
  <c r="L73" i="6"/>
  <c r="U69" i="6"/>
  <c r="E76" i="6"/>
  <c r="L76" i="6"/>
  <c r="U70" i="6"/>
  <c r="E186" i="6"/>
  <c r="L186" i="6"/>
  <c r="U71" i="6"/>
  <c r="E79" i="6"/>
  <c r="L79" i="6"/>
  <c r="U72" i="6"/>
  <c r="E87" i="6"/>
  <c r="L87" i="6"/>
  <c r="U73" i="6"/>
  <c r="E81" i="6"/>
  <c r="L81" i="6"/>
  <c r="U74" i="6"/>
  <c r="E60" i="6"/>
  <c r="L60" i="6"/>
  <c r="U75" i="6"/>
  <c r="E83" i="6"/>
  <c r="L83" i="6"/>
  <c r="U76" i="6"/>
  <c r="E84" i="6"/>
  <c r="L84" i="6"/>
  <c r="U77" i="6"/>
  <c r="E90" i="6"/>
  <c r="L90" i="6"/>
  <c r="U78" i="6"/>
  <c r="E92" i="6"/>
  <c r="L92" i="6"/>
  <c r="U79" i="6"/>
  <c r="E91" i="6"/>
  <c r="L91" i="6"/>
  <c r="U80" i="6"/>
  <c r="E95" i="6"/>
  <c r="L95" i="6"/>
  <c r="U81" i="6"/>
  <c r="E93" i="6"/>
  <c r="L93" i="6"/>
  <c r="U82" i="6"/>
  <c r="E85" i="6"/>
  <c r="L85" i="6"/>
  <c r="U83" i="6"/>
  <c r="E88" i="6"/>
  <c r="L88" i="6"/>
  <c r="U84" i="6"/>
  <c r="E96" i="6"/>
  <c r="L96" i="6"/>
  <c r="U85" i="6"/>
  <c r="E101" i="6"/>
  <c r="L101" i="6"/>
  <c r="U86" i="6"/>
  <c r="E99" i="6"/>
  <c r="L99" i="6"/>
  <c r="U87" i="6"/>
  <c r="E97" i="6"/>
  <c r="L97" i="6"/>
  <c r="U88" i="6"/>
  <c r="E102" i="6"/>
  <c r="L102" i="6"/>
  <c r="U89" i="6"/>
  <c r="E110" i="6"/>
  <c r="L110" i="6"/>
  <c r="U90" i="6"/>
  <c r="E105" i="6"/>
  <c r="L105" i="6"/>
  <c r="U91" i="6"/>
  <c r="E103" i="6"/>
  <c r="L103" i="6"/>
  <c r="U92" i="6"/>
  <c r="E108" i="6"/>
  <c r="L108" i="6"/>
  <c r="U93" i="6"/>
  <c r="E109" i="6"/>
  <c r="L109" i="6"/>
  <c r="U94" i="6"/>
  <c r="E107" i="6"/>
  <c r="L107" i="6"/>
  <c r="U95" i="6"/>
  <c r="E111" i="6"/>
  <c r="L111" i="6"/>
  <c r="U97" i="6"/>
  <c r="E112" i="6"/>
  <c r="L112" i="6"/>
  <c r="U98" i="6"/>
  <c r="E113" i="6"/>
  <c r="L113" i="6"/>
  <c r="U99" i="6"/>
  <c r="E116" i="6"/>
  <c r="L116" i="6"/>
  <c r="U100" i="6"/>
  <c r="E115" i="6"/>
  <c r="L115" i="6"/>
  <c r="U101" i="6"/>
  <c r="E117" i="6"/>
  <c r="L117" i="6"/>
  <c r="U102" i="6"/>
  <c r="E118" i="6"/>
  <c r="L118" i="6"/>
  <c r="U103" i="6"/>
  <c r="E121" i="6"/>
  <c r="L121" i="6"/>
  <c r="U104" i="6"/>
  <c r="E182" i="6"/>
  <c r="L182" i="6"/>
  <c r="U105" i="6"/>
  <c r="E123" i="6"/>
  <c r="L123" i="6"/>
  <c r="U106" i="6"/>
  <c r="E124" i="6"/>
  <c r="L124" i="6"/>
  <c r="U108" i="6"/>
  <c r="E119" i="6"/>
  <c r="L119" i="6"/>
  <c r="U109" i="6"/>
  <c r="E125" i="6"/>
  <c r="L125" i="6"/>
  <c r="U110" i="6"/>
  <c r="E135" i="6"/>
  <c r="L135" i="6"/>
  <c r="U111" i="6"/>
  <c r="E126" i="6"/>
  <c r="L126" i="6"/>
  <c r="U112" i="6"/>
  <c r="E132" i="6"/>
  <c r="L132" i="6"/>
  <c r="U113" i="6"/>
  <c r="E127" i="6"/>
  <c r="L127" i="6"/>
  <c r="U114" i="6"/>
  <c r="E128" i="6"/>
  <c r="L128" i="6"/>
  <c r="U115" i="6"/>
  <c r="E130" i="6"/>
  <c r="L130" i="6"/>
  <c r="U116" i="6"/>
  <c r="E133" i="6"/>
  <c r="L133" i="6"/>
  <c r="U117" i="6"/>
  <c r="E134" i="6"/>
  <c r="L134" i="6"/>
  <c r="U118" i="6"/>
  <c r="U119" i="6"/>
  <c r="E141" i="6"/>
  <c r="L141" i="6"/>
  <c r="U120" i="6"/>
  <c r="E157" i="6"/>
  <c r="L157" i="6"/>
  <c r="U121" i="6"/>
  <c r="E158" i="6"/>
  <c r="L158" i="6"/>
  <c r="U122" i="6"/>
  <c r="E142" i="6"/>
  <c r="L142" i="6"/>
  <c r="U123" i="6"/>
  <c r="E146" i="6"/>
  <c r="L146" i="6"/>
  <c r="U124" i="6"/>
  <c r="E147" i="6"/>
  <c r="L147" i="6"/>
  <c r="U125" i="6"/>
  <c r="E144" i="6"/>
  <c r="L144" i="6"/>
  <c r="U126" i="6"/>
  <c r="E153" i="6"/>
  <c r="L153" i="6"/>
  <c r="U127" i="6"/>
  <c r="E156" i="6"/>
  <c r="L156" i="6"/>
  <c r="U128" i="6"/>
  <c r="E143" i="6"/>
  <c r="L143" i="6"/>
  <c r="U129" i="6"/>
  <c r="E78" i="6"/>
  <c r="L78" i="6"/>
  <c r="U130" i="6"/>
  <c r="E140" i="6"/>
  <c r="L140" i="6"/>
  <c r="U131" i="6"/>
  <c r="E139" i="6"/>
  <c r="L139" i="6"/>
  <c r="U132" i="6"/>
  <c r="E150" i="6"/>
  <c r="L150" i="6"/>
  <c r="U133" i="6"/>
  <c r="E149" i="6"/>
  <c r="L149" i="6"/>
  <c r="U134" i="6"/>
  <c r="E138" i="6"/>
  <c r="L138" i="6"/>
  <c r="U135" i="6"/>
  <c r="E152" i="6"/>
  <c r="L152" i="6"/>
  <c r="U136" i="6"/>
  <c r="E148" i="6"/>
  <c r="L148" i="6"/>
  <c r="U137" i="6"/>
  <c r="E160" i="6"/>
  <c r="L160" i="6"/>
  <c r="U138" i="6"/>
  <c r="E170" i="6"/>
  <c r="L170" i="6"/>
  <c r="U139" i="6"/>
  <c r="E169" i="6"/>
  <c r="L169" i="6"/>
  <c r="U140" i="6"/>
  <c r="E167" i="6"/>
  <c r="L167" i="6"/>
  <c r="U141" i="6"/>
  <c r="E161" i="6"/>
  <c r="L161" i="6"/>
  <c r="U142" i="6"/>
  <c r="E171" i="6"/>
  <c r="L171" i="6"/>
  <c r="U143" i="6"/>
  <c r="E165" i="6"/>
  <c r="L165" i="6"/>
  <c r="U144" i="6"/>
  <c r="E162" i="6"/>
  <c r="L162" i="6"/>
  <c r="U145" i="6"/>
  <c r="E164" i="6"/>
  <c r="L164" i="6"/>
  <c r="U146" i="6"/>
  <c r="E145" i="6"/>
  <c r="L145" i="6"/>
  <c r="U147" i="6"/>
  <c r="E151" i="6"/>
  <c r="L151" i="6"/>
  <c r="U148" i="6"/>
  <c r="E168" i="6"/>
  <c r="L168" i="6"/>
  <c r="U149" i="6"/>
  <c r="E172" i="6"/>
  <c r="L172" i="6"/>
  <c r="U150" i="6"/>
  <c r="E173" i="6"/>
  <c r="L173" i="6"/>
  <c r="U151" i="6"/>
  <c r="E178" i="6"/>
  <c r="L178" i="6"/>
  <c r="U152" i="6"/>
  <c r="E174" i="6"/>
  <c r="L174" i="6"/>
  <c r="U153" i="6"/>
  <c r="E179" i="6"/>
  <c r="L179" i="6"/>
  <c r="U154" i="6"/>
  <c r="E184" i="6"/>
  <c r="L184" i="6"/>
  <c r="U155" i="6"/>
  <c r="E176" i="6"/>
  <c r="L176" i="6"/>
  <c r="U156" i="6"/>
  <c r="E177" i="6"/>
  <c r="L177" i="6"/>
  <c r="U157" i="6"/>
  <c r="E180" i="6"/>
  <c r="L180" i="6"/>
  <c r="U158" i="6"/>
  <c r="E183" i="6"/>
  <c r="L183" i="6"/>
  <c r="U159" i="6"/>
  <c r="E181" i="6"/>
  <c r="L181" i="6"/>
  <c r="U160" i="6"/>
  <c r="E187" i="6"/>
  <c r="L187" i="6"/>
  <c r="U161" i="6"/>
  <c r="E189" i="6"/>
  <c r="L189" i="6"/>
  <c r="U162" i="6"/>
  <c r="E190" i="6"/>
  <c r="L190" i="6"/>
  <c r="U163" i="6"/>
  <c r="E191" i="6"/>
  <c r="L191" i="6"/>
  <c r="U164" i="6"/>
  <c r="E244" i="6"/>
  <c r="L244" i="6"/>
  <c r="U165" i="6"/>
  <c r="E202" i="6"/>
  <c r="L202" i="6"/>
  <c r="U166" i="6"/>
  <c r="E207" i="6"/>
  <c r="L207" i="6"/>
  <c r="U167" i="6"/>
  <c r="E192" i="6"/>
  <c r="L192" i="6"/>
  <c r="U168" i="6"/>
  <c r="E194" i="6"/>
  <c r="L194" i="6"/>
  <c r="U169" i="6"/>
  <c r="E205" i="6"/>
  <c r="L205" i="6"/>
  <c r="U170" i="6"/>
  <c r="E213" i="6"/>
  <c r="L213" i="6"/>
  <c r="U171" i="6"/>
  <c r="E200" i="6"/>
  <c r="L200" i="6"/>
  <c r="U172" i="6"/>
  <c r="E195" i="6"/>
  <c r="L195" i="6"/>
  <c r="U173" i="6"/>
  <c r="E209" i="6"/>
  <c r="L209" i="6"/>
  <c r="U175" i="6"/>
  <c r="E210" i="6"/>
  <c r="L210" i="6"/>
  <c r="U176" i="6"/>
  <c r="E199" i="6"/>
  <c r="L199" i="6"/>
  <c r="U177" i="6"/>
  <c r="E203" i="6"/>
  <c r="L203" i="6"/>
  <c r="U178" i="6"/>
  <c r="E246" i="6"/>
  <c r="L246" i="6"/>
  <c r="U179" i="6"/>
  <c r="U180" i="6"/>
  <c r="E70" i="6"/>
  <c r="L70" i="6"/>
  <c r="U181" i="6"/>
  <c r="E131" i="6"/>
  <c r="L131" i="6"/>
  <c r="U182" i="6"/>
  <c r="E122" i="6"/>
  <c r="L122" i="6"/>
  <c r="U183" i="6"/>
  <c r="E129" i="6"/>
  <c r="L129" i="6"/>
  <c r="U184" i="6"/>
  <c r="U185" i="6"/>
  <c r="E237" i="6"/>
  <c r="L237" i="6"/>
  <c r="U186" i="6"/>
  <c r="E193" i="6"/>
  <c r="L193" i="6"/>
  <c r="U187" i="6"/>
  <c r="E208" i="6"/>
  <c r="L208" i="6"/>
  <c r="U188" i="6"/>
  <c r="E211" i="6"/>
  <c r="L211" i="6"/>
  <c r="U189" i="6"/>
  <c r="E43" i="6"/>
  <c r="L43" i="6"/>
  <c r="U190" i="6"/>
  <c r="E214" i="6"/>
  <c r="L214" i="6"/>
  <c r="U191" i="6"/>
  <c r="E219" i="6"/>
  <c r="L219" i="6"/>
  <c r="U192" i="6"/>
  <c r="E229" i="6"/>
  <c r="L229" i="6"/>
  <c r="U193" i="6"/>
  <c r="E218" i="6"/>
  <c r="L218" i="6"/>
  <c r="U194" i="6"/>
  <c r="E222" i="6"/>
  <c r="L222" i="6"/>
  <c r="U195" i="6"/>
  <c r="E217" i="6"/>
  <c r="L217" i="6"/>
  <c r="U196" i="6"/>
  <c r="E223" i="6"/>
  <c r="L223" i="6"/>
  <c r="U197" i="6"/>
  <c r="E224" i="6"/>
  <c r="L224" i="6"/>
  <c r="U198" i="6"/>
  <c r="E225" i="6"/>
  <c r="L225" i="6"/>
  <c r="U199" i="6"/>
  <c r="E226" i="6"/>
  <c r="L226" i="6"/>
  <c r="U200" i="6"/>
  <c r="E221" i="6"/>
  <c r="L221" i="6"/>
  <c r="U201" i="6"/>
  <c r="E215" i="6"/>
  <c r="L215" i="6"/>
  <c r="U202" i="6"/>
  <c r="E227" i="6"/>
  <c r="L227" i="6"/>
  <c r="U203" i="6"/>
  <c r="E230" i="6"/>
  <c r="L230" i="6"/>
  <c r="U204" i="6"/>
  <c r="E231" i="6"/>
  <c r="L231" i="6"/>
  <c r="U205" i="6"/>
  <c r="E10" i="6"/>
  <c r="L10" i="6"/>
  <c r="U206" i="6"/>
  <c r="E80" i="6"/>
  <c r="L80" i="6"/>
  <c r="U207" i="6"/>
  <c r="E234" i="6"/>
  <c r="L234" i="6"/>
  <c r="U208" i="6"/>
  <c r="E233" i="6"/>
  <c r="L233" i="6"/>
  <c r="U209" i="6"/>
  <c r="E235" i="6"/>
  <c r="L235" i="6"/>
  <c r="U210" i="6"/>
  <c r="E242" i="6"/>
  <c r="L242" i="6"/>
  <c r="U211" i="6"/>
  <c r="E238" i="6"/>
  <c r="L238" i="6"/>
  <c r="U212" i="6"/>
  <c r="E241" i="6"/>
  <c r="L241" i="6"/>
  <c r="U213" i="6"/>
  <c r="E240" i="6"/>
  <c r="L240" i="6"/>
  <c r="U214" i="6"/>
  <c r="U215" i="6"/>
  <c r="E245" i="6"/>
  <c r="L245" i="6"/>
  <c r="U216" i="6"/>
  <c r="E247" i="6"/>
  <c r="L247" i="6"/>
  <c r="U217" i="6"/>
  <c r="E248" i="6"/>
  <c r="L248" i="6"/>
  <c r="U218" i="6"/>
  <c r="E3" i="6"/>
  <c r="L3" i="6"/>
  <c r="U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 i="6"/>
  <c r="M137" i="6"/>
  <c r="E5" i="6"/>
  <c r="L5" i="6"/>
  <c r="E6" i="6"/>
  <c r="L6" i="6"/>
  <c r="E9" i="6"/>
  <c r="L9" i="6"/>
  <c r="E14" i="6"/>
  <c r="L14" i="6"/>
  <c r="E15" i="6"/>
  <c r="L15" i="6"/>
  <c r="E29" i="6"/>
  <c r="L29" i="6"/>
  <c r="E38" i="6"/>
  <c r="L38" i="6"/>
  <c r="E42" i="6"/>
  <c r="L42" i="6"/>
  <c r="E50" i="6"/>
  <c r="L50" i="6"/>
  <c r="E56" i="6"/>
  <c r="L56" i="6"/>
  <c r="E69" i="6"/>
  <c r="L69" i="6"/>
  <c r="E75" i="6"/>
  <c r="L75" i="6"/>
  <c r="E82" i="6"/>
  <c r="L82" i="6"/>
  <c r="E86" i="6"/>
  <c r="L86" i="6"/>
  <c r="E94" i="6"/>
  <c r="L94" i="6"/>
  <c r="E98" i="6"/>
  <c r="L98" i="6"/>
  <c r="E104" i="6"/>
  <c r="L104" i="6"/>
  <c r="E106" i="6"/>
  <c r="L106" i="6"/>
  <c r="E114" i="6"/>
  <c r="L114" i="6"/>
  <c r="E154" i="6"/>
  <c r="L154" i="6"/>
  <c r="E155" i="6"/>
  <c r="L155" i="6"/>
  <c r="E159" i="6"/>
  <c r="L159" i="6"/>
  <c r="E163" i="6"/>
  <c r="L163" i="6"/>
  <c r="E166" i="6"/>
  <c r="L166" i="6"/>
  <c r="E175" i="6"/>
  <c r="L175" i="6"/>
  <c r="E188" i="6"/>
  <c r="L188" i="6"/>
  <c r="E196" i="6"/>
  <c r="L196" i="6"/>
  <c r="E197" i="6"/>
  <c r="L197" i="6"/>
  <c r="E198" i="6"/>
  <c r="L198" i="6"/>
  <c r="E204" i="6"/>
  <c r="L204" i="6"/>
  <c r="E220" i="6"/>
  <c r="L220" i="6"/>
  <c r="E228" i="6"/>
  <c r="L228" i="6"/>
  <c r="E232" i="6"/>
  <c r="L232" i="6"/>
  <c r="E236" i="6"/>
  <c r="L236" i="6"/>
  <c r="E243" i="6"/>
  <c r="L243" i="6"/>
  <c r="E136" i="6"/>
  <c r="E137" i="6"/>
  <c r="E185" i="6"/>
  <c r="E206"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2" i="6"/>
  <c r="I163" i="6"/>
  <c r="I164" i="6"/>
  <c r="I165" i="6"/>
  <c r="I166" i="6"/>
  <c r="I167" i="6"/>
  <c r="I168" i="6"/>
  <c r="I169" i="6"/>
  <c r="I170" i="6"/>
  <c r="I171" i="6"/>
  <c r="I172" i="6"/>
  <c r="I173" i="6"/>
  <c r="I174" i="6"/>
  <c r="I175" i="6"/>
  <c r="I176"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 i="6"/>
  <c r="M3" i="6"/>
  <c r="M4" i="6"/>
  <c r="M215" i="6"/>
  <c r="M216" i="6"/>
  <c r="M5" i="6"/>
  <c r="M6" i="6"/>
  <c r="M217" i="6"/>
  <c r="M7" i="6"/>
  <c r="M8" i="6"/>
  <c r="M9" i="6"/>
  <c r="M10" i="6"/>
  <c r="M218" i="6"/>
  <c r="M219" i="6"/>
  <c r="M11" i="6"/>
  <c r="M12" i="6"/>
  <c r="M13" i="6"/>
  <c r="M14" i="6"/>
  <c r="M15" i="6"/>
  <c r="M16" i="6"/>
  <c r="M17" i="6"/>
  <c r="M18" i="6"/>
  <c r="M19" i="6"/>
  <c r="M20" i="6"/>
  <c r="M21" i="6"/>
  <c r="M22" i="6"/>
  <c r="M23" i="6"/>
  <c r="M220" i="6"/>
  <c r="M24" i="6"/>
  <c r="M25" i="6"/>
  <c r="M26" i="6"/>
  <c r="M27" i="6"/>
  <c r="M28" i="6"/>
  <c r="M29" i="6"/>
  <c r="M30" i="6"/>
  <c r="M31" i="6"/>
  <c r="M221" i="6"/>
  <c r="M32" i="6"/>
  <c r="M33" i="6"/>
  <c r="M34" i="6"/>
  <c r="M222" i="6"/>
  <c r="M35" i="6"/>
  <c r="M36" i="6"/>
  <c r="M37" i="6"/>
  <c r="M38" i="6"/>
  <c r="M39" i="6"/>
  <c r="M40" i="6"/>
  <c r="M41" i="6"/>
  <c r="M223" i="6"/>
  <c r="M42" i="6"/>
  <c r="M43" i="6"/>
  <c r="M44" i="6"/>
  <c r="M45" i="6"/>
  <c r="M46" i="6"/>
  <c r="M224" i="6"/>
  <c r="M47" i="6"/>
  <c r="M48" i="6"/>
  <c r="M49" i="6"/>
  <c r="M50" i="6"/>
  <c r="M51" i="6"/>
  <c r="M52" i="6"/>
  <c r="M53" i="6"/>
  <c r="M54" i="6"/>
  <c r="M55" i="6"/>
  <c r="M56" i="6"/>
  <c r="M57" i="6"/>
  <c r="M58" i="6"/>
  <c r="M225" i="6"/>
  <c r="M59" i="6"/>
  <c r="M60" i="6"/>
  <c r="M61" i="6"/>
  <c r="M62" i="6"/>
  <c r="M63" i="6"/>
  <c r="M226" i="6"/>
  <c r="M64" i="6"/>
  <c r="M65" i="6"/>
  <c r="M66" i="6"/>
  <c r="M67" i="6"/>
  <c r="M68" i="6"/>
  <c r="M69" i="6"/>
  <c r="M227" i="6"/>
  <c r="M70" i="6"/>
  <c r="M71" i="6"/>
  <c r="M72" i="6"/>
  <c r="M228" i="6"/>
  <c r="M73" i="6"/>
  <c r="M74" i="6"/>
  <c r="M75" i="6"/>
  <c r="M76" i="6"/>
  <c r="M77" i="6"/>
  <c r="M78" i="6"/>
  <c r="M79" i="6"/>
  <c r="M229" i="6"/>
  <c r="M80" i="6"/>
  <c r="M81" i="6"/>
  <c r="M82" i="6"/>
  <c r="M230" i="6"/>
  <c r="M83" i="6"/>
  <c r="M84" i="6"/>
  <c r="M85" i="6"/>
  <c r="M86" i="6"/>
  <c r="M87" i="6"/>
  <c r="M88" i="6"/>
  <c r="M89" i="6"/>
  <c r="M231" i="6"/>
  <c r="M90" i="6"/>
  <c r="M91" i="6"/>
  <c r="M92" i="6"/>
  <c r="M93" i="6"/>
  <c r="M94" i="6"/>
  <c r="M95" i="6"/>
  <c r="M96" i="6"/>
  <c r="M232"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233" i="6"/>
  <c r="M234" i="6"/>
  <c r="M136" i="6"/>
  <c r="M138" i="6"/>
  <c r="M235" i="6"/>
  <c r="M139" i="6"/>
  <c r="M140" i="6"/>
  <c r="M141" i="6"/>
  <c r="M236" i="6"/>
  <c r="M142" i="6"/>
  <c r="M143" i="6"/>
  <c r="M237" i="6"/>
  <c r="M144" i="6"/>
  <c r="M145" i="6"/>
  <c r="M146" i="6"/>
  <c r="M147" i="6"/>
  <c r="M148" i="6"/>
  <c r="M149" i="6"/>
  <c r="M150" i="6"/>
  <c r="M151" i="6"/>
  <c r="M238" i="6"/>
  <c r="M152" i="6"/>
  <c r="M153" i="6"/>
  <c r="M154" i="6"/>
  <c r="M155" i="6"/>
  <c r="M156" i="6"/>
  <c r="M157" i="6"/>
  <c r="M158" i="6"/>
  <c r="M159" i="6"/>
  <c r="M160" i="6"/>
  <c r="M161" i="6"/>
  <c r="M162" i="6"/>
  <c r="M163" i="6"/>
  <c r="M239" i="6"/>
  <c r="M164" i="6"/>
  <c r="M165" i="6"/>
  <c r="M166" i="6"/>
  <c r="M167" i="6"/>
  <c r="M168" i="6"/>
  <c r="M169" i="6"/>
  <c r="M170" i="6"/>
  <c r="M240" i="6"/>
  <c r="M241" i="6"/>
  <c r="M242" i="6"/>
  <c r="M171" i="6"/>
  <c r="M172" i="6"/>
  <c r="M173" i="6"/>
  <c r="M174" i="6"/>
  <c r="M175" i="6"/>
  <c r="M243" i="6"/>
  <c r="M176" i="6"/>
  <c r="M177" i="6"/>
  <c r="M178" i="6"/>
  <c r="M179" i="6"/>
  <c r="M180" i="6"/>
  <c r="M181" i="6"/>
  <c r="M182" i="6"/>
  <c r="M183" i="6"/>
  <c r="M184" i="6"/>
  <c r="M185" i="6"/>
  <c r="M186" i="6"/>
  <c r="M187" i="6"/>
  <c r="M188" i="6"/>
  <c r="M189" i="6"/>
  <c r="M190" i="6"/>
  <c r="M244" i="6"/>
  <c r="M191" i="6"/>
  <c r="M192" i="6"/>
  <c r="M193" i="6"/>
  <c r="M194" i="6"/>
  <c r="M195" i="6"/>
  <c r="M196" i="6"/>
  <c r="M197" i="6"/>
  <c r="M245" i="6"/>
  <c r="M198" i="6"/>
  <c r="M199" i="6"/>
  <c r="M200" i="6"/>
  <c r="M246" i="6"/>
  <c r="M201" i="6"/>
  <c r="M202" i="6"/>
  <c r="M203" i="6"/>
  <c r="M247" i="6"/>
  <c r="M204" i="6"/>
  <c r="M205" i="6"/>
  <c r="M206" i="6"/>
  <c r="M207" i="6"/>
  <c r="M208" i="6"/>
  <c r="M209" i="6"/>
  <c r="M248" i="6"/>
  <c r="M210" i="6"/>
  <c r="M211" i="6"/>
  <c r="M212" i="6"/>
  <c r="M213" i="6"/>
  <c r="M214" i="6"/>
  <c r="M2" i="6"/>
  <c r="H3" i="2"/>
  <c r="I3" i="2"/>
  <c r="L3" i="2"/>
  <c r="M3" i="2"/>
  <c r="H4" i="2"/>
  <c r="I4" i="2"/>
  <c r="L4" i="2"/>
  <c r="M4" i="2"/>
  <c r="H5" i="2"/>
  <c r="I5" i="2"/>
  <c r="L5" i="2"/>
  <c r="M5" i="2"/>
  <c r="H6" i="2"/>
  <c r="I6" i="2"/>
  <c r="L6" i="2"/>
  <c r="M6" i="2"/>
  <c r="H7" i="2"/>
  <c r="I7" i="2"/>
  <c r="L7" i="2"/>
  <c r="M7" i="2"/>
  <c r="H8" i="2"/>
  <c r="I8" i="2"/>
  <c r="L8" i="2"/>
  <c r="M8" i="2"/>
  <c r="H9" i="2"/>
  <c r="I9" i="2"/>
  <c r="L9" i="2"/>
  <c r="M9" i="2"/>
  <c r="H10" i="2"/>
  <c r="I10" i="2"/>
  <c r="L10" i="2"/>
  <c r="M10" i="2"/>
  <c r="H11" i="2"/>
  <c r="I11" i="2"/>
  <c r="L11" i="2"/>
  <c r="M11" i="2"/>
  <c r="H12" i="2"/>
  <c r="I12" i="2"/>
  <c r="L12" i="2"/>
  <c r="M12" i="2"/>
  <c r="H13" i="2"/>
  <c r="I13" i="2"/>
  <c r="L13" i="2"/>
  <c r="M13" i="2"/>
  <c r="H14" i="2"/>
  <c r="I14" i="2"/>
  <c r="L14" i="2"/>
  <c r="M14" i="2"/>
  <c r="H15" i="2"/>
  <c r="I15" i="2"/>
  <c r="L15" i="2"/>
  <c r="M15" i="2"/>
  <c r="H16" i="2"/>
  <c r="I16" i="2"/>
  <c r="L16" i="2"/>
  <c r="M16" i="2"/>
  <c r="H17" i="2"/>
  <c r="I17" i="2"/>
  <c r="L17" i="2"/>
  <c r="M17" i="2"/>
  <c r="H18" i="2"/>
  <c r="I18" i="2"/>
  <c r="L18" i="2"/>
  <c r="M18" i="2"/>
  <c r="M2" i="2"/>
  <c r="L2" i="2"/>
  <c r="I2"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300-000001000000}">
      <text>
        <r>
          <rPr>
            <b/>
            <sz val="9"/>
            <color indexed="81"/>
            <rFont val="Tahoma"/>
            <family val="2"/>
          </rPr>
          <t>DB admin:</t>
        </r>
        <r>
          <rPr>
            <sz val="9"/>
            <color indexed="81"/>
            <rFont val="Tahoma"/>
            <family val="2"/>
          </rPr>
          <t xml:space="preserve">
The region is the identifier that will need to appear in the data template to identify regions.</t>
        </r>
      </text>
    </comment>
    <comment ref="C1" authorId="0" shapeId="0" xr:uid="{00000000-0006-0000-0300-000002000000}">
      <text>
        <r>
          <rPr>
            <b/>
            <sz val="9"/>
            <color indexed="81"/>
            <rFont val="Tahoma"/>
            <family val="2"/>
          </rPr>
          <t>DB admin:</t>
        </r>
        <r>
          <rPr>
            <sz val="9"/>
            <color indexed="81"/>
            <rFont val="Tahoma"/>
            <family val="2"/>
          </rPr>
          <t xml:space="preserve">
The region name is only used for explanatory purposes and will appear in the navigation tree of the web-database to identify regions. Note that the length of the name is limited to 128 characters)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500-000001000000}">
      <text>
        <r>
          <rPr>
            <b/>
            <sz val="9"/>
            <color indexed="81"/>
            <rFont val="Tahoma"/>
            <family val="2"/>
          </rPr>
          <t>DB admin:</t>
        </r>
        <r>
          <rPr>
            <sz val="9"/>
            <color indexed="81"/>
            <rFont val="Tahoma"/>
            <family val="2"/>
          </rPr>
          <t xml:space="preserve">
The native region name in this column is optional and intended to make it easier to read the information.</t>
        </r>
      </text>
    </comment>
    <comment ref="C1" authorId="0" shapeId="0" xr:uid="{00000000-0006-0000-0500-000002000000}">
      <text>
        <r>
          <rPr>
            <b/>
            <sz val="9"/>
            <color indexed="81"/>
            <rFont val="Tahoma"/>
            <family val="2"/>
          </rPr>
          <t>DB admin:</t>
        </r>
        <r>
          <rPr>
            <sz val="9"/>
            <color indexed="81"/>
            <rFont val="Tahoma"/>
            <family val="2"/>
          </rPr>
          <t xml:space="preserve">
ISO 3166 Alpha-3 codes </t>
        </r>
      </text>
    </comment>
  </commentList>
</comments>
</file>

<file path=xl/sharedStrings.xml><?xml version="1.0" encoding="utf-8"?>
<sst xmlns="http://schemas.openxmlformats.org/spreadsheetml/2006/main" count="2509" uniqueCount="862">
  <si>
    <t>Model</t>
  </si>
  <si>
    <t>Country</t>
  </si>
  <si>
    <t>ISO Code</t>
  </si>
  <si>
    <t>AFG</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</si>
  <si>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</si>
  <si>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</si>
  <si>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</si>
  <si>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</si>
  <si>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</si>
  <si>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</si>
  <si>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</si>
  <si>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</si>
  <si>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</si>
  <si>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</si>
  <si>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</si>
  <si>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</si>
  <si>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</si>
  <si>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</si>
  <si>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</si>
  <si>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</si>
  <si>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</si>
  <si>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</si>
  <si>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</si>
  <si>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</si>
  <si>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</si>
  <si>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</si>
  <si>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</si>
  <si>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</si>
  <si>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</si>
  <si>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BIH</t>
  </si>
  <si>
    <t>BWA</t>
  </si>
  <si>
    <t>BVT</t>
  </si>
  <si>
    <t>BRA</t>
  </si>
  <si>
    <t>IOT</t>
  </si>
  <si>
    <t>BRN</t>
  </si>
  <si>
    <t>BGR</t>
  </si>
  <si>
    <t>BFA</t>
  </si>
  <si>
    <t>BDI</t>
  </si>
  <si>
    <t>KHM</t>
  </si>
  <si>
    <t>CMR</t>
  </si>
  <si>
    <t>CAN</t>
  </si>
  <si>
    <t>CPV</t>
  </si>
  <si>
    <t>CYM</t>
  </si>
  <si>
    <t>CAF</t>
  </si>
  <si>
    <t>TCD</t>
  </si>
  <si>
    <t>CHL</t>
  </si>
  <si>
    <t>CHN</t>
  </si>
  <si>
    <t>CXR</t>
  </si>
  <si>
    <t>CCK</t>
  </si>
  <si>
    <t>COL</t>
  </si>
  <si>
    <t>COM</t>
  </si>
  <si>
    <t>COG</t>
  </si>
  <si>
    <t>COD</t>
  </si>
  <si>
    <t>COK</t>
  </si>
  <si>
    <t>CRI</t>
  </si>
  <si>
    <t>CIV</t>
  </si>
  <si>
    <t>HRV</t>
  </si>
  <si>
    <t>CUB</t>
  </si>
  <si>
    <t>CYP</t>
  </si>
  <si>
    <t>CZE</t>
  </si>
  <si>
    <t>DNK</t>
  </si>
  <si>
    <t>DJI</t>
  </si>
  <si>
    <t>DMA</t>
  </si>
  <si>
    <t>DOM</t>
  </si>
  <si>
    <t>TLS</t>
  </si>
  <si>
    <t>ECU</t>
  </si>
  <si>
    <t>EGY</t>
  </si>
  <si>
    <t>SLV</t>
  </si>
  <si>
    <t>GNQ</t>
  </si>
  <si>
    <t>ERI</t>
  </si>
  <si>
    <t>EST</t>
  </si>
  <si>
    <t>ETH</t>
  </si>
  <si>
    <t>FLK</t>
  </si>
  <si>
    <t>FRO</t>
  </si>
  <si>
    <t>FJI</t>
  </si>
  <si>
    <t>FIN</t>
  </si>
  <si>
    <t>FRA</t>
  </si>
  <si>
    <t>GUF</t>
  </si>
  <si>
    <t>PYF</t>
  </si>
  <si>
    <t>ATF</t>
  </si>
  <si>
    <t>GAB</t>
  </si>
  <si>
    <t>GMB</t>
  </si>
  <si>
    <t>GEO</t>
  </si>
  <si>
    <t>DEU</t>
  </si>
  <si>
    <t>GHA</t>
  </si>
  <si>
    <t>GIB</t>
  </si>
  <si>
    <t>GRC</t>
  </si>
  <si>
    <t>GRL</t>
  </si>
  <si>
    <t>GRD</t>
  </si>
  <si>
    <t>GLP</t>
  </si>
  <si>
    <t>GUM</t>
  </si>
  <si>
    <t>GTM</t>
  </si>
  <si>
    <t>GIN</t>
  </si>
  <si>
    <t>GNB</t>
  </si>
  <si>
    <t>GUY</t>
  </si>
  <si>
    <t>HTI</t>
  </si>
  <si>
    <t>HMD</t>
  </si>
  <si>
    <t>VAT</t>
  </si>
  <si>
    <t>HND</t>
  </si>
  <si>
    <t>HKG</t>
  </si>
  <si>
    <t>HUN</t>
  </si>
  <si>
    <t>ISL</t>
  </si>
  <si>
    <t>IND</t>
  </si>
  <si>
    <t>IDN</t>
  </si>
  <si>
    <t>IRN</t>
  </si>
  <si>
    <t>IRQ</t>
  </si>
  <si>
    <t>IRL</t>
  </si>
  <si>
    <t>ISR</t>
  </si>
  <si>
    <t>ITA</t>
  </si>
  <si>
    <t>JAM</t>
  </si>
  <si>
    <t>JPN</t>
  </si>
  <si>
    <t>JOR</t>
  </si>
  <si>
    <t>KAZ</t>
  </si>
  <si>
    <t>KEN</t>
  </si>
  <si>
    <t>KIR</t>
  </si>
  <si>
    <t>PRK</t>
  </si>
  <si>
    <t>KOR</t>
  </si>
  <si>
    <t>KWT</t>
  </si>
  <si>
    <t>KGZ</t>
  </si>
  <si>
    <t>LAO</t>
  </si>
  <si>
    <t>LVA</t>
  </si>
  <si>
    <t>LBN</t>
  </si>
  <si>
    <t>LSO</t>
  </si>
  <si>
    <t>LBR</t>
  </si>
  <si>
    <t>LBY</t>
  </si>
  <si>
    <t>LIE</t>
  </si>
  <si>
    <t>LTU</t>
  </si>
  <si>
    <t>LUX</t>
  </si>
  <si>
    <t>MAC</t>
  </si>
  <si>
    <t>MKD</t>
  </si>
  <si>
    <t>MDG</t>
  </si>
  <si>
    <t>MWI</t>
  </si>
  <si>
    <t>MYS</t>
  </si>
  <si>
    <t>MDV</t>
  </si>
  <si>
    <t>MLI</t>
  </si>
  <si>
    <t>MLT</t>
  </si>
  <si>
    <t>MHL</t>
  </si>
  <si>
    <t>MTQ</t>
  </si>
  <si>
    <t>MRT</t>
  </si>
  <si>
    <t>MUS</t>
  </si>
  <si>
    <t>MYT</t>
  </si>
  <si>
    <t>MEX</t>
  </si>
  <si>
    <t>FSM</t>
  </si>
  <si>
    <t>MDA</t>
  </si>
  <si>
    <t>MCO</t>
  </si>
  <si>
    <t>MNG</t>
  </si>
  <si>
    <t>MSR</t>
  </si>
  <si>
    <t>MAR</t>
  </si>
  <si>
    <t>MOZ</t>
  </si>
  <si>
    <t>MMR</t>
  </si>
  <si>
    <t>NAM</t>
  </si>
  <si>
    <t>NRU</t>
  </si>
  <si>
    <t>NPL</t>
  </si>
  <si>
    <t>NLD</t>
  </si>
  <si>
    <t>ANT</t>
  </si>
  <si>
    <t>NCL</t>
  </si>
  <si>
    <t>NZL</t>
  </si>
  <si>
    <t>NIC</t>
  </si>
  <si>
    <t>NER</t>
  </si>
  <si>
    <t>NGA</t>
  </si>
  <si>
    <t>NIU</t>
  </si>
  <si>
    <t>NFK</t>
  </si>
  <si>
    <t>MNP</t>
  </si>
  <si>
    <t>NOR</t>
  </si>
  <si>
    <t>OMN</t>
  </si>
  <si>
    <t>PAK</t>
  </si>
  <si>
    <t>PLW</t>
  </si>
  <si>
    <t>PAN</t>
  </si>
  <si>
    <t>PNG</t>
  </si>
  <si>
    <t>PRY</t>
  </si>
  <si>
    <t>PER</t>
  </si>
  <si>
    <t>PHL</t>
  </si>
  <si>
    <t>PCN</t>
  </si>
  <si>
    <t>POL</t>
  </si>
  <si>
    <t>PRT</t>
  </si>
  <si>
    <t>PRI</t>
  </si>
  <si>
    <t>QAT</t>
  </si>
  <si>
    <t>REU</t>
  </si>
  <si>
    <t>ROU</t>
  </si>
  <si>
    <t>RUS</t>
  </si>
  <si>
    <t>RWA</t>
  </si>
  <si>
    <t>SHN</t>
  </si>
  <si>
    <t>KNA</t>
  </si>
  <si>
    <t>LCA</t>
  </si>
  <si>
    <t>SPM</t>
  </si>
  <si>
    <t>VCT</t>
  </si>
  <si>
    <t>WSM</t>
  </si>
  <si>
    <t>SMR</t>
  </si>
  <si>
    <t>STP</t>
  </si>
  <si>
    <t>SAU</t>
  </si>
  <si>
    <t>SEN</t>
  </si>
  <si>
    <t>SYC</t>
  </si>
  <si>
    <t>SLE</t>
  </si>
  <si>
    <t>SGP</t>
  </si>
  <si>
    <t>SVK</t>
  </si>
  <si>
    <t>SVN</t>
  </si>
  <si>
    <t>SLB</t>
  </si>
  <si>
    <t>SOM</t>
  </si>
  <si>
    <t>ZAF</t>
  </si>
  <si>
    <t>SGS</t>
  </si>
  <si>
    <t>ESP</t>
  </si>
  <si>
    <t>LKA</t>
  </si>
  <si>
    <t>SDN</t>
  </si>
  <si>
    <t>SUR</t>
  </si>
  <si>
    <t>SJM</t>
  </si>
  <si>
    <t>SWZ</t>
  </si>
  <si>
    <t>SWE</t>
  </si>
  <si>
    <t>CHE</t>
  </si>
  <si>
    <t>SYR</t>
  </si>
  <si>
    <t>TWN</t>
  </si>
  <si>
    <t>TJK</t>
  </si>
  <si>
    <t>TZA</t>
  </si>
  <si>
    <t>THA</t>
  </si>
  <si>
    <t>TGO</t>
  </si>
  <si>
    <t>TKL</t>
  </si>
  <si>
    <t>TON</t>
  </si>
  <si>
    <t>TTO</t>
  </si>
  <si>
    <t>TUN</t>
  </si>
  <si>
    <t>TUR</t>
  </si>
  <si>
    <t>TKM</t>
  </si>
  <si>
    <t>TCA</t>
  </si>
  <si>
    <t>TUV</t>
  </si>
  <si>
    <t>UGA</t>
  </si>
  <si>
    <t>UKR</t>
  </si>
  <si>
    <t>ARE</t>
  </si>
  <si>
    <t>GBR</t>
  </si>
  <si>
    <t>USA</t>
  </si>
  <si>
    <t>UMI</t>
  </si>
  <si>
    <t>URY</t>
  </si>
  <si>
    <t>UZB</t>
  </si>
  <si>
    <t>VUT</t>
  </si>
  <si>
    <t>VEN</t>
  </si>
  <si>
    <t>VNM</t>
  </si>
  <si>
    <t>VGB</t>
  </si>
  <si>
    <t>VIR</t>
  </si>
  <si>
    <t>WLF</t>
  </si>
  <si>
    <t>ESH</t>
  </si>
  <si>
    <t>YEM</t>
  </si>
  <si>
    <t>ZMB</t>
  </si>
  <si>
    <t>ZWE</t>
  </si>
  <si>
    <t>EU</t>
  </si>
  <si>
    <t>China, China Hong Kong SAR, China Macao SAR, Mongolia, Taiwan, Afghanistan, Bangladesh, Bhutan, India, Maldives, Nepal, Pakistan, Sri Lanka, Brunei Darussalam, Cambodia, Democratic People's Republic of Korea, East Timor, Indonesia, Lao People's Democratic Republic, Malaysia, Myanmar, Papua New Guinea, Philippines, Republic of Korea, Singapore, Thailand, Viet Nam</t>
  </si>
  <si>
    <t>Asian countries except Japan</t>
  </si>
  <si>
    <t>Countries of the Middle East and Africa</t>
  </si>
  <si>
    <t>Bahrain, Iran (Islamic Republic of), Iraq, Israel, Jordan, Kuwait, Lebanon, Oman, Qatar, Saudi Arabia, Syrian Arab Republic, United Arab Emirates, Yemen, Algeria, Angola, Benin, Botswana, Burkina Faso, Burundi, Cote d'Ivoire, Cameroon, Cape Verde, Central African Republic, Chad, Comoros, Congo, Democratic Republic of the Congo, Djibouti, Egypt, Equatorial Guinea, Eritrea, Ethiopia, Gabon, Gambia, Ghana, Guinea, Guinea-Bissau, Kenya, Lesotho, Liberia, Libyan Arab Jamahiriya, Madagascar, Malawi, Mali, Mauritania, Mauritius, Morocco, Mozambique, Namibia, Niger, Nigeria, Reunion, Rwanda, Senegal, Sierra Leone, Somalia, South Africa, Sudan, Swaziland, Togo, Tunisia, Uganda, United Republic of Tanzania, Western Sahara, Zambia, Zimbabwe</t>
  </si>
  <si>
    <t>Latin American countries</t>
  </si>
  <si>
    <t>Argentina, Bahamas, Barbados, Belize, Bolivia, Brazil, Chile, Colombia, Costa Rica, Cuba, Dominican Republic, Ecuador, El Salvador, Guadeloupe, Guatemala, Guyana, Haiti, Honduras, Jamaica, Martinique, Mexico, Netherlands Antilles, Nicaragua, Panama, Paraguay, Peru, Puerto Rico, Suriname, Trinidad and Tobago, Uruguay, Venezuela</t>
  </si>
  <si>
    <t>Tabs</t>
  </si>
  <si>
    <t>user data</t>
  </si>
  <si>
    <t>model regions</t>
  </si>
  <si>
    <t>region aggregation</t>
  </si>
  <si>
    <t>regional definition</t>
  </si>
  <si>
    <t>United States of America</t>
  </si>
  <si>
    <t>People's Repulic of China</t>
  </si>
  <si>
    <t>Russian Federation</t>
  </si>
  <si>
    <t>Federative Republic of Brazil</t>
  </si>
  <si>
    <t>Republic of India</t>
  </si>
  <si>
    <t>State of Japan</t>
  </si>
  <si>
    <t>Note:</t>
  </si>
  <si>
    <t xml:space="preserve">in orange are your model specific regions </t>
  </si>
  <si>
    <t>Native Region Code</t>
  </si>
  <si>
    <t>Standardized Region Code</t>
  </si>
  <si>
    <t>in green is your model name</t>
  </si>
  <si>
    <t xml:space="preserve">Native Region Code </t>
  </si>
  <si>
    <t>SRB</t>
  </si>
  <si>
    <t>MNE</t>
  </si>
  <si>
    <t>Native Region Name</t>
  </si>
  <si>
    <t>Notes/Instructions</t>
  </si>
  <si>
    <t>General Instructions</t>
  </si>
  <si>
    <t>meta_model</t>
  </si>
  <si>
    <t xml:space="preserve">(i) free text: Please type in the answer, e.g. the 'base year' of the model, </t>
  </si>
  <si>
    <t xml:space="preserve">(ii) selection from a list with only one possible answers: Please use the dropdown list to select the apropriate answer, and </t>
  </si>
  <si>
    <t>(iii) selection from a list with Yes/No option.</t>
  </si>
  <si>
    <t>In the "model regions", "region aggregation" and "regional definition" tabs, the following color coding is used:</t>
  </si>
  <si>
    <t>As a rule of thumb, we propose to map a native model region to a predefined region if the deviation in terms of population in the base year is less than 20%. If the deviation is higher, please do not create a mapping for the predefined region under consideration. This is of course only a very rough rule and in specific cases you may decide not to map the regions for various other regions, such as:</t>
  </si>
  <si>
    <t>very different development characteristics that make the population rule apply in the base year, but not for most of the reported time horizon</t>
  </si>
  <si>
    <t>very different energy system structures that make a comparison of your native region with the predefined region problematic (For example, in IIASA's MESSAGE model we have Pacific OECD (PAO) as a region that includes Japan, Australia and New Zealand which could be mapped to the predefined “Japan” region according to the 20% population rule in 2005, but both exceptions listed here apply and so we do not map PAO to Japan.)</t>
  </si>
  <si>
    <t>The information provided on this tab documents some of the main characteristics of the models that are used to generate integrated scenarios. Please note that the model name should include a version tag and in case you intend to submit scenario data from multiple model versions, each of them will have to be registered separately. The intention is to be able to classify energy-economic and integrated assessment models in the assessment of transformation pathways and therefore should be provided with some care. The fist two rows on this tab are reserved for the title of the question and an additional explanation. For the input starting in the third row three types of answers occur, which are marked by different colors:</t>
  </si>
  <si>
    <t>Native Region Name (for explanatory purposes, &lt; 128 characters)</t>
  </si>
  <si>
    <t>The sum of the 5 SSP regions together with the ROWO region should add up to the global numbers submitted as "World".</t>
  </si>
  <si>
    <t>Countries from the Reforming Ecomonies of the Former Soviet Union</t>
  </si>
  <si>
    <t>Armenia, Azerbaijan, Belarus, Georgia, Kazakhstan, Kyrgyzstan, Republic of Moldova, Russian Federation, Tajikistan, Turkmenistan, Ukraine, Uzbekistan</t>
  </si>
  <si>
    <t>Albania, Austria, Belgium, Bosnia and Herzegovina, Bulgaria, Croatia, Cyprus, Czech Republic, Denmark, Estonia, Finland, France, Germany, Greece, Hungary, Iceland, Ireland, Italy, Latvia, Lithuania, Luxembourg, Macedonia, Malta, Montenegro, Netherlands, Norway, Poland, Portugal, Spain, Sweden, Switzerland, Turkey, United Kingdom, Canada, United States of America, Australia, Fiji, French Polynesia, Guam, Japan, New Caledonia, New Zealand, Romania, Samoa, Serbia, Slovakia, Slovenia, Solomon Islands, Vanuatu</t>
  </si>
  <si>
    <t>Rest of the World - to be used only if decent match with the 5 SSP regions can otherwise not be achieved</t>
  </si>
  <si>
    <t xml:space="preserve">Additional guidance for global models: For the 5 SSP regions that jointly cover the entire World, we ask you to find the best match possible to ensure that the sum of the five regions (plus an additional ROWO  = Rest Of WOrld region) add up to the World. In case of severe deviations, i.e. if the 20% population rule is violated significantly, please also use the newly added ROWO (Rest of World) region. Again, use base year population as guiding principle to determine the best match. Please ensure that you map your native regions exactly once to the 5 SSP regions and do not map a native regions to several predefined regions even if the native region is represented roughly equally by two predefined regions. </t>
  </si>
  <si>
    <t xml:space="preserve"> If multiple native model regions fit into a predefined region, multiple rows with all the native regions and the predefined region code need to be added to the list (Example: United States fits in USA and in OECD). In case no sufficiently good match can be achieved, the mapping to a specific predefined region can also be left out.</t>
  </si>
  <si>
    <t>Aggregation to the 5 region level (taken from the SSP database, see also https://secure.iiasa.ac.at/web-apps/ene/SspDb/dsd?Action=htmlpage&amp;page=about#regiondefs)</t>
  </si>
  <si>
    <t>OECD90 and EU (and EU candidate) countries</t>
  </si>
  <si>
    <t>in blue are the standardized regions that are used in the CD-LINKS stocktaking and diagnostic databases for the analysis</t>
  </si>
  <si>
    <t>Argentine Republic</t>
  </si>
  <si>
    <t>Commonwealth of Australia</t>
  </si>
  <si>
    <t>Canada</t>
  </si>
  <si>
    <t>European Union (28 member countries)</t>
  </si>
  <si>
    <t>Republic of Indonesia</t>
  </si>
  <si>
    <t>United Mexican States</t>
  </si>
  <si>
    <t>Kingdom of Saudi Arabia</t>
  </si>
  <si>
    <t>Republic of South Africa</t>
  </si>
  <si>
    <t>Republic of Turkey</t>
  </si>
  <si>
    <t>SAF</t>
  </si>
  <si>
    <t>ROK</t>
  </si>
  <si>
    <t>Republic of Korea (South Korea)</t>
  </si>
  <si>
    <t>R5OECD90+EU</t>
  </si>
  <si>
    <t>R5REF</t>
  </si>
  <si>
    <t>R5ASIA</t>
  </si>
  <si>
    <t>R5MAF</t>
  </si>
  <si>
    <t>R5LAM</t>
  </si>
  <si>
    <t>R5ROWO</t>
  </si>
  <si>
    <t>R10NORTH_AM</t>
  </si>
  <si>
    <t>countries of North America; primarily the United States of America and Canada</t>
  </si>
  <si>
    <t>Canada,  Guam,  United States of America</t>
  </si>
  <si>
    <t>R10EUROPE</t>
  </si>
  <si>
    <t>R10PAC_OECD</t>
  </si>
  <si>
    <t>countries of the Pacific OECD</t>
  </si>
  <si>
    <t>Australia, Japan, New Caledonia, New Zealand, Samoa, Solomon Islands, Vanuatu</t>
  </si>
  <si>
    <t>R10REF_ECON</t>
  </si>
  <si>
    <t>R10CHINA+</t>
  </si>
  <si>
    <t>countries of centrally-planned Asia; primarily China</t>
  </si>
  <si>
    <t>R10INDIA+</t>
  </si>
  <si>
    <t>countries of South Asia; primarily India</t>
  </si>
  <si>
    <t>R10REST_ASIA</t>
  </si>
  <si>
    <t>(in not in India+/China+)  Afghanistan, Bangladesh, Bhutan, Fiji, Maldives, Nepal, Pakistan, Sri Lanka, Cambodia, Korea (DPR), Laos (PDR), Mongolia, Viet Nam</t>
  </si>
  <si>
    <t>R10AFRICA</t>
  </si>
  <si>
    <t>Angola, Benin, Botswana, British Indian Ocean Territory, Burkina Faso, Burundi, Cameroon, Cape Verde, Central African Republic, Chad, Comoros, Cote d'Ivoire, Congo, Djibouti, Equatorial Guinea, Eritrea, Ethiopia, Gabon, Gambia, Ghana, Guinea, Guinea-Bissau, Kenya, Lesotho, Liberia, Madagascar, Malawi, Mali, Mauritania, Mauritius, Mozambique, Namibia, Niger, Nigeria, Reunion, Rwanda, Sao Tome and Principe, Senegal, Seychelles, Sierra Leone, Somalia, South Africa, Saint Helena, Swaziland, Tanzania, Togo, Uganda, Zaire, Zambia, Zimbabwe</t>
  </si>
  <si>
    <t>R10MIDDLE_EAST</t>
  </si>
  <si>
    <t>R10LATIN_AM</t>
  </si>
  <si>
    <t>countries of Latin America and the Caribbean</t>
  </si>
  <si>
    <t>R10ROWO</t>
  </si>
  <si>
    <t>countries of Eastern and Western Europe (i.e., the EU28)</t>
  </si>
  <si>
    <t>Austria, Belgium, Croatia, Denmark, France, Finland, Spain, Sweden, Germany, Greece,  Iceland, Ireland, Italy, Luxembourg, Netherlands, Norway, Portugal,  Switzerland, Turkey, United Kingdom</t>
  </si>
  <si>
    <t>countries from the Reforming Economies of Eastern Europe and the Former Soviet Union; primarily Russia</t>
  </si>
  <si>
    <t>China (incl. Hong Kong), Cambodia, Korea (DPR), Laos (PDR), Mongolia, Viet Nam</t>
  </si>
  <si>
    <t xml:space="preserve">India, Afghanistan, Bangladesh, Bhutan, Maldives, Nepal, Pakistan, Sri Lanka, </t>
  </si>
  <si>
    <t>other countries of Asia</t>
  </si>
  <si>
    <t>countries of Sub-Saharan Africa</t>
  </si>
  <si>
    <t>countries of the Middle East; Iran, Iraq, Israel, Saudi Arabia, Qatar, etc.</t>
  </si>
  <si>
    <t>Individual countries and regions assessed in ENGAGE (ISO 3166-1 alpha-3 codes)</t>
  </si>
  <si>
    <t>Viet Nam </t>
  </si>
  <si>
    <t>Iraq, Iran (Islamic Republic), Israel, Kuwait, Lebanon, Oman, Qatar, Saudi Arabia, United Arab Emirates</t>
  </si>
  <si>
    <t>Aruba </t>
  </si>
  <si>
    <t>Afghanistan </t>
  </si>
  <si>
    <t>Angola </t>
  </si>
  <si>
    <t>Anguilla </t>
  </si>
  <si>
    <t>ALA</t>
  </si>
  <si>
    <t>Åland Islands </t>
  </si>
  <si>
    <t>Albania </t>
  </si>
  <si>
    <t>Andorra </t>
  </si>
  <si>
    <t>Netherlands Antilles </t>
  </si>
  <si>
    <t>United Arab Emirates </t>
  </si>
  <si>
    <t>Argentina </t>
  </si>
  <si>
    <t>Armenia </t>
  </si>
  <si>
    <t>American Samoa </t>
  </si>
  <si>
    <t>Antarctica </t>
  </si>
  <si>
    <t>French Southern Territories </t>
  </si>
  <si>
    <t>Antigua and Barbuda </t>
  </si>
  <si>
    <t>Australia </t>
  </si>
  <si>
    <t>Austria </t>
  </si>
  <si>
    <t>Azerbaijan </t>
  </si>
  <si>
    <t>Burundi </t>
  </si>
  <si>
    <t>Belgium </t>
  </si>
  <si>
    <t>Benin </t>
  </si>
  <si>
    <t>Burkina Faso </t>
  </si>
  <si>
    <t>Bangladesh </t>
  </si>
  <si>
    <t>Bulgaria </t>
  </si>
  <si>
    <t>Bahrain </t>
  </si>
  <si>
    <t>Bahamas </t>
  </si>
  <si>
    <t>Bosnia and Herzegovina </t>
  </si>
  <si>
    <t>BLM</t>
  </si>
  <si>
    <t>Saint Barthélemy </t>
  </si>
  <si>
    <t>Belarus </t>
  </si>
  <si>
    <t>Belize </t>
  </si>
  <si>
    <t>Bermuda </t>
  </si>
  <si>
    <t>Bolivia, Plurinational State of </t>
  </si>
  <si>
    <t>Brazil </t>
  </si>
  <si>
    <t>Barbados </t>
  </si>
  <si>
    <t>Brunei Darussalam </t>
  </si>
  <si>
    <t>Bhutan </t>
  </si>
  <si>
    <t>Bouvet Island </t>
  </si>
  <si>
    <t>Botswana </t>
  </si>
  <si>
    <t>Central African Republic </t>
  </si>
  <si>
    <t>Canada </t>
  </si>
  <si>
    <t>Cocos (Keeling) Islands </t>
  </si>
  <si>
    <t>Switzerland </t>
  </si>
  <si>
    <t>Chile </t>
  </si>
  <si>
    <t>China </t>
  </si>
  <si>
    <t>Côte d'Ivoire </t>
  </si>
  <si>
    <t>Cameroon </t>
  </si>
  <si>
    <t>Congo, the Democratic Republic of the </t>
  </si>
  <si>
    <t>Congo </t>
  </si>
  <si>
    <t>Cook Islands </t>
  </si>
  <si>
    <t>Colombia </t>
  </si>
  <si>
    <t>Comoros </t>
  </si>
  <si>
    <t>Cape Verde </t>
  </si>
  <si>
    <t>Costa Rica </t>
  </si>
  <si>
    <t>Cuba </t>
  </si>
  <si>
    <t>Christmas Island </t>
  </si>
  <si>
    <t>Cayman Islands </t>
  </si>
  <si>
    <t>Cyprus </t>
  </si>
  <si>
    <t>Czech Republic </t>
  </si>
  <si>
    <t>Germany </t>
  </si>
  <si>
    <t>Djibouti </t>
  </si>
  <si>
    <t>Dominica </t>
  </si>
  <si>
    <t>Denmark </t>
  </si>
  <si>
    <t>Dominican Republic </t>
  </si>
  <si>
    <t>Algeria </t>
  </si>
  <si>
    <t>Ecuador </t>
  </si>
  <si>
    <t>Egypt </t>
  </si>
  <si>
    <t>Eritrea </t>
  </si>
  <si>
    <t>Western Sahara </t>
  </si>
  <si>
    <t>Spain </t>
  </si>
  <si>
    <t>Estonia </t>
  </si>
  <si>
    <t>Ethiopia </t>
  </si>
  <si>
    <t>Finland </t>
  </si>
  <si>
    <t>Fiji </t>
  </si>
  <si>
    <t>Falkland Islands (Malvinas) </t>
  </si>
  <si>
    <t>France </t>
  </si>
  <si>
    <t>Faroe Islands </t>
  </si>
  <si>
    <t>Micronesia, Federated States of </t>
  </si>
  <si>
    <t>Gabon </t>
  </si>
  <si>
    <t>United Kingdom </t>
  </si>
  <si>
    <t>Georgia </t>
  </si>
  <si>
    <t>GGY</t>
  </si>
  <si>
    <t>Guernsey </t>
  </si>
  <si>
    <t>Ghana </t>
  </si>
  <si>
    <t>Gibraltar </t>
  </si>
  <si>
    <t>Guinea </t>
  </si>
  <si>
    <t>Guadeloupe </t>
  </si>
  <si>
    <t>Gambia </t>
  </si>
  <si>
    <t>Guinea-Bissau </t>
  </si>
  <si>
    <t>Equatorial Guinea </t>
  </si>
  <si>
    <t>Greece </t>
  </si>
  <si>
    <t>Grenada </t>
  </si>
  <si>
    <t>Greenland </t>
  </si>
  <si>
    <t>Guatemala </t>
  </si>
  <si>
    <t>French Guiana </t>
  </si>
  <si>
    <t>Guam </t>
  </si>
  <si>
    <t>Guyana </t>
  </si>
  <si>
    <t>Hong Kong </t>
  </si>
  <si>
    <t>Heard Island and McDonald Islands </t>
  </si>
  <si>
    <t>Honduras </t>
  </si>
  <si>
    <t>Croatia </t>
  </si>
  <si>
    <t>Haiti </t>
  </si>
  <si>
    <t>Hungary </t>
  </si>
  <si>
    <t>Indonesia </t>
  </si>
  <si>
    <t>IMN</t>
  </si>
  <si>
    <t>Isle of Man </t>
  </si>
  <si>
    <t>India </t>
  </si>
  <si>
    <t>British Indian Ocean Territory </t>
  </si>
  <si>
    <t>Ireland </t>
  </si>
  <si>
    <t>Iran, Islamic Republic of </t>
  </si>
  <si>
    <t>Iraq </t>
  </si>
  <si>
    <t>Iceland </t>
  </si>
  <si>
    <t>Israel </t>
  </si>
  <si>
    <t>Italy </t>
  </si>
  <si>
    <t>Jamaica </t>
  </si>
  <si>
    <t>JEY</t>
  </si>
  <si>
    <t>Jersey </t>
  </si>
  <si>
    <t>Jordan </t>
  </si>
  <si>
    <t>Japan </t>
  </si>
  <si>
    <t>Kazakhstan </t>
  </si>
  <si>
    <t>Kenya </t>
  </si>
  <si>
    <t>Kyrgyzstan </t>
  </si>
  <si>
    <t>Cambodia </t>
  </si>
  <si>
    <t>Kiribati </t>
  </si>
  <si>
    <t>Saint Kitts and Nevis </t>
  </si>
  <si>
    <t>Korea, Republic of </t>
  </si>
  <si>
    <t>Kuwait </t>
  </si>
  <si>
    <t>Lao People's Democratic Republic </t>
  </si>
  <si>
    <t>Lebanon </t>
  </si>
  <si>
    <t>Liberia </t>
  </si>
  <si>
    <t>Libyan Arab Jamahiriya </t>
  </si>
  <si>
    <t>Saint Lucia </t>
  </si>
  <si>
    <t>Liechtenstein </t>
  </si>
  <si>
    <t>Sri Lanka </t>
  </si>
  <si>
    <t>Lesotho </t>
  </si>
  <si>
    <t>Lithuania </t>
  </si>
  <si>
    <t>Luxembourg </t>
  </si>
  <si>
    <t>Latvia </t>
  </si>
  <si>
    <t>Macao </t>
  </si>
  <si>
    <t>MAF</t>
  </si>
  <si>
    <t>Saint Martin (French part) </t>
  </si>
  <si>
    <t>Morocco </t>
  </si>
  <si>
    <t>Monaco </t>
  </si>
  <si>
    <t>Moldova, Republic of </t>
  </si>
  <si>
    <t>Madagascar </t>
  </si>
  <si>
    <t>Maldives </t>
  </si>
  <si>
    <t>Mexico </t>
  </si>
  <si>
    <t>Marshall Islands </t>
  </si>
  <si>
    <t>Macedonia, the former Yugoslav Republic of </t>
  </si>
  <si>
    <t>Mali </t>
  </si>
  <si>
    <t>Malta </t>
  </si>
  <si>
    <t>Myanmar </t>
  </si>
  <si>
    <t>Montenegro </t>
  </si>
  <si>
    <t>Mongolia </t>
  </si>
  <si>
    <t>Northern Mariana Islands </t>
  </si>
  <si>
    <t>Mozambique </t>
  </si>
  <si>
    <t>Mauritania </t>
  </si>
  <si>
    <t>Montserrat </t>
  </si>
  <si>
    <t>Martinique </t>
  </si>
  <si>
    <t>Mauritius </t>
  </si>
  <si>
    <t>Malawi </t>
  </si>
  <si>
    <t>Malaysia </t>
  </si>
  <si>
    <t>Mayotte </t>
  </si>
  <si>
    <t>Namibia </t>
  </si>
  <si>
    <t>New Caledonia </t>
  </si>
  <si>
    <t>Niger </t>
  </si>
  <si>
    <t>Norfolk Island </t>
  </si>
  <si>
    <t>Nigeria </t>
  </si>
  <si>
    <t>Nicaragua </t>
  </si>
  <si>
    <t>Niue </t>
  </si>
  <si>
    <t>Netherlands </t>
  </si>
  <si>
    <t>Norway </t>
  </si>
  <si>
    <t>Nepal </t>
  </si>
  <si>
    <t>Nauru </t>
  </si>
  <si>
    <t>New Zealand </t>
  </si>
  <si>
    <t>Oman </t>
  </si>
  <si>
    <t>Pakistan </t>
  </si>
  <si>
    <t>Panama </t>
  </si>
  <si>
    <t>Pitcairn </t>
  </si>
  <si>
    <t>Peru </t>
  </si>
  <si>
    <t>Philippines </t>
  </si>
  <si>
    <t>Palau </t>
  </si>
  <si>
    <t>Papua New Guinea </t>
  </si>
  <si>
    <t>Poland </t>
  </si>
  <si>
    <t>Puerto Rico </t>
  </si>
  <si>
    <t>Korea, Democratic People's Republic of </t>
  </si>
  <si>
    <t>Portugal </t>
  </si>
  <si>
    <t>Paraguay </t>
  </si>
  <si>
    <t>PSE</t>
  </si>
  <si>
    <t>Palestinian Territory, Occupied </t>
  </si>
  <si>
    <t>French Polynesia </t>
  </si>
  <si>
    <t>Qatar </t>
  </si>
  <si>
    <t>Réunion </t>
  </si>
  <si>
    <t>Romania </t>
  </si>
  <si>
    <t>Russian Federation </t>
  </si>
  <si>
    <t>Rwanda </t>
  </si>
  <si>
    <t>Saudi Arabia </t>
  </si>
  <si>
    <t>Sudan </t>
  </si>
  <si>
    <t>Senegal </t>
  </si>
  <si>
    <t>Singapore </t>
  </si>
  <si>
    <t>South Georgia and the South Sandwich Islands </t>
  </si>
  <si>
    <t>Saint Helena, Ascension and Tristan da Cunha </t>
  </si>
  <si>
    <t>Svalbard and Jan Mayen </t>
  </si>
  <si>
    <t>Solomon Islands </t>
  </si>
  <si>
    <t>Sierra Leone </t>
  </si>
  <si>
    <t>El Salvador </t>
  </si>
  <si>
    <t>San Marino </t>
  </si>
  <si>
    <t>Somalia </t>
  </si>
  <si>
    <t>Saint Pierre and Miquelon </t>
  </si>
  <si>
    <t>Serbia </t>
  </si>
  <si>
    <t>SSD</t>
  </si>
  <si>
    <t>South Sudan</t>
  </si>
  <si>
    <t>Sao Tome and Principe </t>
  </si>
  <si>
    <t>Suriname </t>
  </si>
  <si>
    <t>Slovakia </t>
  </si>
  <si>
    <t>Slovenia </t>
  </si>
  <si>
    <t>Sweden </t>
  </si>
  <si>
    <t>Swaziland </t>
  </si>
  <si>
    <t>Seychelles </t>
  </si>
  <si>
    <t>Syrian Arab Republic </t>
  </si>
  <si>
    <t>Turks and Caicos Islands </t>
  </si>
  <si>
    <t>Chad </t>
  </si>
  <si>
    <t>Togo </t>
  </si>
  <si>
    <t>Thailand </t>
  </si>
  <si>
    <t>Tajikistan </t>
  </si>
  <si>
    <t>Tokelau </t>
  </si>
  <si>
    <t>Turkmenistan </t>
  </si>
  <si>
    <t>Timor-Leste </t>
  </si>
  <si>
    <t>Tonga </t>
  </si>
  <si>
    <t>Trinidad and Tobago </t>
  </si>
  <si>
    <t>Tunisia </t>
  </si>
  <si>
    <t>Turkey </t>
  </si>
  <si>
    <t>Tuvalu </t>
  </si>
  <si>
    <t>Taiwan, Province of China </t>
  </si>
  <si>
    <t>Tanzania, United Republic of </t>
  </si>
  <si>
    <t>Uganda </t>
  </si>
  <si>
    <t>Ukraine </t>
  </si>
  <si>
    <t>United States Minor Outlying Islands </t>
  </si>
  <si>
    <t>Uruguay </t>
  </si>
  <si>
    <t>United States </t>
  </si>
  <si>
    <t>Uzbekistan </t>
  </si>
  <si>
    <t>Holy See (Vatican City State) </t>
  </si>
  <si>
    <t>Saint Vincent and the Grenadines </t>
  </si>
  <si>
    <t>Venezuela, Bolivarian Republic of </t>
  </si>
  <si>
    <t>Virgin Islands, British </t>
  </si>
  <si>
    <t>Virgin Islands, U.S. </t>
  </si>
  <si>
    <t>Vanuatu </t>
  </si>
  <si>
    <t>Wallis and Futuna </t>
  </si>
  <si>
    <t>Samoa </t>
  </si>
  <si>
    <t>Yemen </t>
  </si>
  <si>
    <t>South Africa </t>
  </si>
  <si>
    <t>Zambia </t>
  </si>
  <si>
    <t>Zimbabwe </t>
  </si>
  <si>
    <t>A list of region codes and their full names that you intend to submit to the ENGAGE Scenario Explorer (again, the spelling and capitalization of the region codes have to identical to those provided in the "Region" column of the ENGAGE/CD-LINKS data template). These can either be your native model regions or the aggregate of these regions that you typically use for reporting data.</t>
  </si>
  <si>
    <t>This tab collects information on the model name (the spelling and capitalization has to be identical with what will be provided in the "model" column of the ENGAGE/CD-LINKS data template), the members of the modeling teams that will have access to the database and their permissions and contact details. The database allows to distinguish between "read-ony" users and users that have permission to upload new model runs. Please note that the model name should include a version tag (this is different from modeling comparison exercises in which similar IAMC templates and databases have been used) and in case you intend to submit scenario data from multiple model versions, each of them will have to be registered separately (see also meta_model tab).</t>
  </si>
  <si>
    <t>This tab provides a mapping of 247 countries to your model regions. This information will allow us to document deviations from the predefined regions. For each country listed in column C, please fill in the name of the corresponding region in your model in column B. If a country is not included in your model, please fill in "N/A" in the region column. Native region definitions only have to be supplied once for your model, i.e. in case you have submitted those to a modeling exercise that uses an IAMC template, these can be reused here.</t>
  </si>
  <si>
    <t>Rest of the World - to be used only if decent match with the 10 regions can otherwise not be achieved</t>
  </si>
  <si>
    <t>Aggregation to the 10 region level (taken for the LIMITS and CD-LINKS effort sharing analysis)</t>
  </si>
  <si>
    <t>The information collected in this set of tabs is necessary to set up accounts of the interactive web-database that will be used to manage data submissions to the ENGAGE Sceanrio Explorer. In addition to user-specific data, we need information on the regions used by individual models and how these regions map to a set of pre-defined regions which will be used for the stocktaking and diagnostic analyses.</t>
  </si>
  <si>
    <t>Region Mapping for standardized regions (World, 5 SSP regions, 10 regions, large emitting countries/regions)</t>
  </si>
  <si>
    <t>The table on this tab should provide information on how the native model regions that you provide in the "model regions" tab map to a set of predefined regions given in the tab "standardized regions", i.e. the 5 SSP regions (+ROWO = Rest Of WOrld), 10 regions used in the LIMITS and CD-LINKS effort sharing analysis (+ROWO), some "large emitting countries and regions" and the World. To arrive at comparable results given significantly different native model regions, below is some guidance for how to deal with the region mapping in case no exact regional match is possible.</t>
  </si>
  <si>
    <t>Japan</t>
  </si>
  <si>
    <t>World</t>
  </si>
  <si>
    <t>XE25</t>
  </si>
  <si>
    <t>XER</t>
  </si>
  <si>
    <t>Rest of Europe</t>
  </si>
  <si>
    <t>Turkey</t>
  </si>
  <si>
    <t>XOC</t>
  </si>
  <si>
    <t>New Zealand and Australia</t>
  </si>
  <si>
    <t>China</t>
  </si>
  <si>
    <t>India</t>
  </si>
  <si>
    <t>XSE</t>
  </si>
  <si>
    <t>Rest of East and South East Asia</t>
  </si>
  <si>
    <t>XSA</t>
  </si>
  <si>
    <t>Rest of Asia</t>
  </si>
  <si>
    <t>Brazil</t>
  </si>
  <si>
    <t>XLM</t>
  </si>
  <si>
    <t>Rest of Brazil</t>
  </si>
  <si>
    <t>CIS</t>
  </si>
  <si>
    <t>Former USSR</t>
  </si>
  <si>
    <t>XME</t>
  </si>
  <si>
    <t>Middle East</t>
  </si>
  <si>
    <t>XNF</t>
  </si>
  <si>
    <t>North Africa</t>
  </si>
  <si>
    <t>XAF</t>
  </si>
  <si>
    <t>Other Africa</t>
  </si>
  <si>
    <t>AIM/CGE V2.2</t>
  </si>
  <si>
    <t>XE25</t>
    <phoneticPr fontId="12"/>
  </si>
  <si>
    <t>TUR</t>
    <phoneticPr fontId="12"/>
  </si>
  <si>
    <t>CAN</t>
    <phoneticPr fontId="11"/>
  </si>
  <si>
    <t>JPN</t>
    <phoneticPr fontId="11"/>
  </si>
  <si>
    <t>XOC</t>
    <phoneticPr fontId="11"/>
  </si>
  <si>
    <t>CIS</t>
    <phoneticPr fontId="11"/>
  </si>
  <si>
    <t>XER</t>
    <phoneticPr fontId="11"/>
  </si>
  <si>
    <t>BRA</t>
    <phoneticPr fontId="11"/>
  </si>
  <si>
    <t>XLM</t>
    <phoneticPr fontId="11"/>
  </si>
  <si>
    <t>.</t>
    <phoneticPr fontId="11"/>
  </si>
  <si>
    <t>*</t>
    <phoneticPr fontId="11"/>
  </si>
  <si>
    <t>Afghanistan</t>
  </si>
  <si>
    <t>Albania</t>
  </si>
  <si>
    <t>Algeria</t>
  </si>
  <si>
    <t>American Samoa</t>
  </si>
  <si>
    <t>Andorra</t>
  </si>
  <si>
    <t>Angola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</si>
  <si>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</si>
  <si>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</si>
  <si>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</si>
  <si>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</si>
  <si>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</si>
  <si>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</si>
  <si>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</si>
  <si>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</si>
  <si>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</si>
  <si>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</si>
  <si>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</si>
  <si>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</si>
  <si>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</si>
  <si>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</si>
  <si>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</si>
  <si>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</si>
  <si>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</si>
  <si>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</si>
  <si>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</si>
  <si>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</si>
  <si>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British Virgin Islands</t>
  </si>
  <si>
    <t>Brunei Darussalam</t>
  </si>
  <si>
    <t>Bulgaria</t>
  </si>
  <si>
    <t>Burkina Faso</t>
  </si>
  <si>
    <t>Burundi</t>
  </si>
  <si>
    <t>Cabo Verde</t>
  </si>
  <si>
    <t>Cambodia</t>
  </si>
  <si>
    <t>Cameroon</t>
  </si>
  <si>
    <t>Cayman Islands</t>
  </si>
  <si>
    <t>Central African Republic</t>
  </si>
  <si>
    <t>Chad</t>
  </si>
  <si>
    <t>CHI</t>
  </si>
  <si>
    <t>Channel Islands</t>
  </si>
  <si>
    <t>Chile</t>
  </si>
  <si>
    <t>Colombia</t>
  </si>
  <si>
    <t>Comoros</t>
  </si>
  <si>
    <t>Congo, Dem. Rep.</t>
  </si>
  <si>
    <t>Congo, Rep.</t>
  </si>
  <si>
    <t>Costa Rica</t>
  </si>
  <si>
    <t>Cote d'Ivoire</t>
  </si>
  <si>
    <t>Croatia</t>
  </si>
  <si>
    <t>Cuba</t>
  </si>
  <si>
    <t>CUW</t>
  </si>
  <si>
    <t>Curacao</t>
  </si>
  <si>
    <t>Cyprus</t>
  </si>
  <si>
    <t>Czech Republic</t>
  </si>
  <si>
    <t>Denmark</t>
  </si>
  <si>
    <t>Djibouti</t>
  </si>
  <si>
    <t>Dominica</t>
  </si>
  <si>
    <t>Dominican Republic</t>
  </si>
  <si>
    <t>Ecuador</t>
  </si>
  <si>
    <t>Egypt, Arab Rep.</t>
  </si>
  <si>
    <t>El Salvador</t>
  </si>
  <si>
    <t>Equatorial Guinea</t>
  </si>
  <si>
    <t>Eritrea</t>
  </si>
  <si>
    <t>Estonia</t>
  </si>
  <si>
    <t>Eswatini</t>
  </si>
  <si>
    <t>Ethiopia</t>
  </si>
  <si>
    <t>Faroe Islands</t>
  </si>
  <si>
    <t>Fiji</t>
  </si>
  <si>
    <t>Finland</t>
  </si>
  <si>
    <t>France</t>
  </si>
  <si>
    <t>French Polynesia</t>
  </si>
  <si>
    <t>Gabon</t>
  </si>
  <si>
    <t>Gambia, The</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</si>
  <si>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</si>
  <si>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</si>
  <si>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</si>
  <si>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</si>
  <si>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</si>
  <si>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</si>
  <si>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</si>
  <si>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</si>
  <si>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</si>
  <si>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</si>
  <si>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</si>
  <si>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</si>
  <si>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</si>
  <si>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</si>
  <si>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</si>
  <si>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</si>
  <si>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</si>
  <si>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Indonesia</t>
  </si>
  <si>
    <t>Iran, Islamic Rep.</t>
  </si>
  <si>
    <t>Iraq</t>
  </si>
  <si>
    <t>Ireland</t>
  </si>
  <si>
    <t>Isle of Man</t>
  </si>
  <si>
    <t>Israel</t>
  </si>
  <si>
    <t>Italy</t>
  </si>
  <si>
    <t>Jamaica</t>
  </si>
  <si>
    <t>Jordan</t>
  </si>
  <si>
    <t>Kazakhstan</t>
  </si>
  <si>
    <t>Kenya</t>
  </si>
  <si>
    <t>Kiribati</t>
  </si>
  <si>
    <r>
      <t>Korea, Dem. People</t>
    </r>
    <r>
      <rPr>
        <sz val="10"/>
        <rFont val="ＭＳ Ｐゴシック"/>
        <family val="3"/>
        <charset val="128"/>
      </rPr>
      <t>窶冱</t>
    </r>
    <r>
      <rPr>
        <sz val="10"/>
        <rFont val="Arial"/>
        <family val="2"/>
      </rPr>
      <t xml:space="preserve"> Rep.</t>
    </r>
  </si>
  <si>
    <t>Korea, Rep.</t>
  </si>
  <si>
    <t>XKX</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</si>
  <si>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</si>
  <si>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</si>
  <si>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</si>
  <si>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</si>
  <si>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</si>
  <si>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</si>
  <si>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</si>
  <si>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</si>
  <si>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</si>
  <si>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</si>
  <si>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</si>
  <si>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</si>
  <si>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</si>
  <si>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</si>
  <si>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</si>
  <si>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</si>
  <si>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</si>
  <si>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</si>
  <si>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</si>
  <si>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</si>
  <si>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</si>
  <si>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</si>
  <si>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</si>
  <si>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</si>
  <si>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</si>
  <si>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</si>
  <si>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</si>
  <si>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</si>
  <si>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</si>
  <si>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</si>
  <si>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</si>
  <si>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</si>
  <si>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</si>
  <si>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</si>
  <si>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</si>
  <si>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</si>
  <si>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</si>
  <si>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</si>
  <si>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</si>
  <si>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</si>
  <si>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</si>
  <si>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</si>
  <si>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</si>
  <si>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</si>
  <si>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</si>
  <si>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</si>
  <si>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</si>
  <si>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</si>
  <si>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</si>
  <si>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</si>
  <si>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</si>
  <si>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</si>
  <si>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</si>
  <si>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Puerto Rico</t>
  </si>
  <si>
    <t>Qatar</t>
  </si>
  <si>
    <t>Romania</t>
  </si>
  <si>
    <t>Rwanda</t>
  </si>
  <si>
    <t>Samoa</t>
  </si>
  <si>
    <t>San Marino</t>
  </si>
  <si>
    <t>Sao Tome and Principe</t>
  </si>
  <si>
    <t>Saudi Arabia</t>
  </si>
  <si>
    <t>Senegal</t>
  </si>
  <si>
    <t>Serbia</t>
  </si>
  <si>
    <t>Seychelles</t>
  </si>
  <si>
    <t>Sierra Leone</t>
  </si>
  <si>
    <t>Singapore</t>
  </si>
  <si>
    <t>SXM</t>
  </si>
  <si>
    <t>Sint Maarten (Dutch part)</t>
  </si>
  <si>
    <t>Slovak Republic</t>
  </si>
  <si>
    <t>Slovenia</t>
  </si>
  <si>
    <t>Solomon Islands</t>
  </si>
  <si>
    <t>Somalia</t>
  </si>
  <si>
    <t>South Africa</t>
  </si>
  <si>
    <t>Spain</t>
  </si>
  <si>
    <t>Sri Lanka</t>
  </si>
  <si>
    <t>St. Kitts and Nevis</t>
  </si>
  <si>
    <t>St. Lucia</t>
  </si>
  <si>
    <t>St. Martin (French part)</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</si>
  <si>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</si>
  <si>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</si>
  <si>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</si>
  <si>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</si>
  <si>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</si>
  <si>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</si>
  <si>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</si>
  <si>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</si>
  <si>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</si>
  <si>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</si>
  <si>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</si>
  <si>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</si>
  <si>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</si>
  <si>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</si>
  <si>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Turkmenistan</t>
  </si>
  <si>
    <t>Turks and Caicos Islands</t>
  </si>
  <si>
    <t>Tuvalu</t>
  </si>
  <si>
    <t>Uganda</t>
  </si>
  <si>
    <t>Ukraine</t>
  </si>
  <si>
    <t>United Arab Emirates</t>
  </si>
  <si>
    <t>United Kingdom</t>
  </si>
  <si>
    <t>United States</t>
  </si>
  <si>
    <t>Uruguay</t>
  </si>
  <si>
    <t>Uzbekistan</t>
  </si>
  <si>
    <t>Vanuatu</t>
  </si>
  <si>
    <t>Venezuela, RB</t>
  </si>
  <si>
    <t>Vietnam</t>
  </si>
  <si>
    <t>Virgin Islands (U.S.)</t>
  </si>
  <si>
    <t>West Bank and Gaza</t>
  </si>
  <si>
    <t>Yemen, Rep.</t>
  </si>
  <si>
    <t>Zambia</t>
  </si>
  <si>
    <t>Zimbabwe</t>
  </si>
  <si>
    <t>XME</t>
    <phoneticPr fontId="11"/>
  </si>
  <si>
    <t>XAF</t>
    <phoneticPr fontId="11"/>
  </si>
  <si>
    <t>XSA</t>
    <phoneticPr fontId="11"/>
  </si>
  <si>
    <t>XLM</t>
    <phoneticPr fontId="11"/>
  </si>
  <si>
    <t>ANG</t>
  </si>
  <si>
    <t>Anguilla</t>
  </si>
  <si>
    <t>MON</t>
  </si>
  <si>
    <t>Montserrat</t>
  </si>
  <si>
    <t>PLS</t>
  </si>
  <si>
    <t>Palestinian Territory</t>
  </si>
  <si>
    <t>.</t>
    <phoneticPr fontId="11"/>
  </si>
  <si>
    <t>XER</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</si>
</sst>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indexed="8"/>
      <name val="Calibri"/>
      <family val="2"/>
    </font>
    <font>
      <sz val="10"/>
      <name val="Arial"/>
      <family val="2"/>
    </font>
    <font>
      <sz val="10"/>
      <name val="Gill Sans MT"/>
      <family val="2"/>
    </font>
    <font>
      <b/>
      <sz val="10"/>
      <name val="Arial"/>
      <family val="2"/>
    </font>
    <font>
      <b/>
      <sz val="11"/>
      <color indexed="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2"/>
      <color theme="1"/>
      <name val="Calibri"/>
      <family val="2"/>
      <scheme val="minor"/>
    </font>
    <font>
      <sz val="6"/>
      <name val="Calibri"/>
      <family val="3"/>
      <charset val="128"/>
      <scheme val="minor"/>
    </font>
    <font>
      <sz val="6"/>
      <name val="ＭＳ Ｐゴシック"/>
      <family val="3"/>
      <charset val="128"/>
    </font>
    <font>
      <sz val="10"/>
      <name val="ＭＳ Ｐゴシック"/>
      <family val="3"/>
      <charset val="128"/>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1">
    <xf numFmtId="0" fontId="0" fillId="0" borderId="0" xfId="0"/>
    <xf numFmtId="0" fontId="8" fillId="0" borderId="0" xfId="0" applyFont="1"/>
    <xf numFmtId="0" fontId="2" fillId="0" borderId="0" xfId="16"/>
    <xf numFmtId="0" fontId="4" fillId="0" borderId="0" xfId="16" applyFont="1"/>
    <xf numFmtId="0" fontId="0" fillId="0" borderId="0" xfId="0" applyAlignment="1">
      <alignment vertical="top"/>
    </xf>
    <xf numFmtId="0" fontId="0" fillId="0" borderId="0" xfId="0" applyAlignment="1">
      <alignment horizontal="left" wrapText="1"/>
    </xf>
    <xf numFmtId="0" fontId="0" fillId="0" borderId="0" xfId="0" applyAlignment="1">
      <alignment horizontal="left"/>
    </xf>
    <xf numFmtId="0" fontId="9" fillId="0" borderId="0" xfId="0" applyFont="1"/>
    <xf numFmtId="0" fontId="9" fillId="0" borderId="0" xfId="0" applyFont="1" applyAlignment="1">
      <alignment horizontal="left"/>
    </xf>
    <xf numFmtId="0" fontId="5" fillId="2" borderId="0" xfId="0" applyFont="1" applyFill="1"/>
    <xf numFmtId="0" fontId="0" fillId="2" borderId="0" xfId="0" applyFill="1"/>
    <xf numFmtId="0" fontId="5" fillId="3" borderId="0" xfId="0" applyFont="1" applyFill="1"/>
    <xf numFmtId="0" fontId="0" fillId="3" borderId="0" xfId="0" applyFill="1"/>
    <xf numFmtId="0" fontId="0" fillId="3" borderId="0" xfId="0" applyFill="1" applyAlignment="1">
      <alignment horizontal="left" vertical="top"/>
    </xf>
    <xf numFmtId="0" fontId="4" fillId="2" borderId="0" xfId="16" applyFont="1" applyFill="1"/>
    <xf numFmtId="0" fontId="2" fillId="2" borderId="0" xfId="16" applyFill="1"/>
    <xf numFmtId="0" fontId="0" fillId="4" borderId="0" xfId="0" applyFill="1"/>
    <xf numFmtId="0" fontId="1" fillId="4" borderId="0" xfId="0" applyFont="1" applyFill="1" applyAlignment="1">
      <alignment vertical="top"/>
    </xf>
    <xf numFmtId="0" fontId="8" fillId="4" borderId="0" xfId="0" applyFont="1" applyFill="1"/>
    <xf numFmtId="0" fontId="5" fillId="4" borderId="0" xfId="0" applyFont="1" applyFill="1"/>
    <xf numFmtId="0" fontId="4" fillId="0" borderId="0" xfId="0" applyFont="1"/>
    <xf numFmtId="0" fontId="10" fillId="0" borderId="0" xfId="0" applyFont="1" applyAlignment="1">
      <alignment vertical="top"/>
    </xf>
    <xf numFmtId="0" fontId="0" fillId="0" borderId="0" xfId="0" applyAlignment="1">
      <alignment vertical="top" wrapText="1"/>
    </xf>
    <xf numFmtId="0" fontId="0" fillId="0" borderId="0" xfId="0" applyAlignment="1">
      <alignment wrapText="1"/>
    </xf>
    <xf numFmtId="0" fontId="0" fillId="6" borderId="0" xfId="0" applyFill="1" applyAlignment="1">
      <alignment horizontal="left" vertical="top" wrapText="1" indent="1"/>
    </xf>
    <xf numFmtId="0" fontId="0" fillId="8" borderId="0" xfId="0" applyFill="1" applyAlignment="1">
      <alignment horizontal="left" vertical="top" wrapText="1" indent="1"/>
    </xf>
    <xf numFmtId="0" fontId="0" fillId="7" borderId="0" xfId="0" applyFill="1" applyAlignment="1">
      <alignment horizontal="left" vertical="top" wrapText="1" indent="1"/>
    </xf>
    <xf numFmtId="0" fontId="1" fillId="0" borderId="0" xfId="0" applyFont="1" applyAlignment="1">
      <alignment vertical="top"/>
    </xf>
    <xf numFmtId="0" fontId="0" fillId="2" borderId="0" xfId="0" applyFill="1" applyAlignment="1">
      <alignment vertical="top"/>
    </xf>
    <xf numFmtId="0" fontId="0" fillId="0" borderId="0" xfId="0" applyAlignment="1">
      <alignment horizontal="left" vertical="top" wrapText="1" indent="1"/>
    </xf>
    <xf numFmtId="0" fontId="0" fillId="0" borderId="0" xfId="0" applyAlignment="1">
      <alignment horizontal="left" vertical="top" wrapText="1" indent="3"/>
    </xf>
    <xf numFmtId="0" fontId="0" fillId="4" borderId="1" xfId="0" applyFill="1" applyBorder="1"/>
    <xf numFmtId="0" fontId="0" fillId="2" borderId="2" xfId="0" applyFill="1" applyBorder="1"/>
    <xf numFmtId="0" fontId="0" fillId="3" borderId="3" xfId="0" applyFill="1" applyBorder="1"/>
    <xf numFmtId="0" fontId="0" fillId="4" borderId="4" xfId="0" applyFill="1" applyBorder="1"/>
    <xf numFmtId="0" fontId="0" fillId="3" borderId="5" xfId="0" applyFill="1" applyBorder="1"/>
    <xf numFmtId="0" fontId="0" fillId="4" borderId="6" xfId="0" applyFill="1" applyBorder="1"/>
    <xf numFmtId="0" fontId="0" fillId="2" borderId="7" xfId="0" applyFill="1" applyBorder="1"/>
    <xf numFmtId="0" fontId="0" fillId="3" borderId="8" xfId="0" applyFill="1" applyBorder="1"/>
    <xf numFmtId="0" fontId="0" fillId="0" borderId="0" xfId="0" applyAlignment="1">
      <alignment horizontal="left" vertical="top" wrapText="1"/>
    </xf>
    <xf numFmtId="0" fontId="5" fillId="5" borderId="0" xfId="0" applyFont="1" applyFill="1" applyAlignment="1">
      <alignment horizontal="center"/>
    </xf>
  </cellXfs>
  <cellStyles count="26">
    <cellStyle name="Normal" xfId="0" builtinId="0"/>
    <cellStyle name="Normal 11 2" xfId="1" xr:uid="{00000000-0005-0000-0000-000002000000}"/>
    <cellStyle name="Normal 11 3" xfId="2" xr:uid="{00000000-0005-0000-0000-000003000000}"/>
    <cellStyle name="Normal 11 4" xfId="3" xr:uid="{00000000-0005-0000-0000-000004000000}"/>
    <cellStyle name="Normal 12 2" xfId="4" xr:uid="{00000000-0005-0000-0000-000005000000}"/>
    <cellStyle name="Normal 12 3" xfId="5" xr:uid="{00000000-0005-0000-0000-000006000000}"/>
    <cellStyle name="Normal 12 4" xfId="6" xr:uid="{00000000-0005-0000-0000-000007000000}"/>
    <cellStyle name="Normal 13 2" xfId="7" xr:uid="{00000000-0005-0000-0000-000008000000}"/>
    <cellStyle name="Normal 13 3" xfId="8" xr:uid="{00000000-0005-0000-0000-000009000000}"/>
    <cellStyle name="Normal 13 4" xfId="9" xr:uid="{00000000-0005-0000-0000-00000A000000}"/>
    <cellStyle name="Normal 14 2" xfId="10" xr:uid="{00000000-0005-0000-0000-00000B000000}"/>
    <cellStyle name="Normal 14 3" xfId="11" xr:uid="{00000000-0005-0000-0000-00000C000000}"/>
    <cellStyle name="Normal 14 4" xfId="12" xr:uid="{00000000-0005-0000-0000-00000D000000}"/>
    <cellStyle name="Normal 15 2" xfId="13" xr:uid="{00000000-0005-0000-0000-00000E000000}"/>
    <cellStyle name="Normal 15 3" xfId="14" xr:uid="{00000000-0005-0000-0000-00000F000000}"/>
    <cellStyle name="Normal 15 4" xfId="15" xr:uid="{00000000-0005-0000-0000-000010000000}"/>
    <cellStyle name="Normal 2" xfId="16" xr:uid="{00000000-0005-0000-0000-000011000000}"/>
    <cellStyle name="Normal 2 2" xfId="17" xr:uid="{00000000-0005-0000-0000-000012000000}"/>
    <cellStyle name="Normal 2 3" xfId="18" xr:uid="{00000000-0005-0000-0000-000013000000}"/>
    <cellStyle name="Normal 2 4" xfId="19" xr:uid="{00000000-0005-0000-0000-000014000000}"/>
    <cellStyle name="Normal 2 5" xfId="20" xr:uid="{00000000-0005-0000-0000-000015000000}"/>
    <cellStyle name="Normal 2 6" xfId="21" xr:uid="{00000000-0005-0000-0000-000016000000}"/>
    <cellStyle name="Normal 2 7" xfId="22" xr:uid="{00000000-0005-0000-0000-000017000000}"/>
    <cellStyle name="Normal 2 8" xfId="23" xr:uid="{00000000-0005-0000-0000-000018000000}"/>
    <cellStyle name="Normal 2 9" xfId="24" xr:uid="{00000000-0005-0000-0000-000019000000}"/>
    <cellStyle name="Normal 3"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84"/>
  <sheetViews>
    <sheetView topLeftCell="A35" workbookViewId="0">
      <selection activeCell="A47" sqref="A47"/>
    </sheetView>
  </sheetViews>
  <sheetFormatPr defaultColWidth="9.109375" defaultRowHeight="14.4"/>
  <cols>
    <col min="1" max="1" width="19" customWidth="1"/>
    <col min="2" max="2" width="122.109375" customWidth="1"/>
  </cols>
  <sheetData>
    <row r="1" spans="1:14" ht="15.6">
      <c r="A1" s="21" t="s">
        <v>268</v>
      </c>
    </row>
    <row r="2" spans="1:14" ht="45.75" customHeight="1">
      <c r="A2" s="39" t="s">
        <v>597</v>
      </c>
      <c r="B2" s="39"/>
      <c r="C2" s="22"/>
      <c r="D2" s="22"/>
      <c r="E2" s="22"/>
      <c r="F2" s="22"/>
      <c r="G2" s="22"/>
      <c r="H2" s="22"/>
      <c r="I2" s="22"/>
      <c r="J2" s="22"/>
      <c r="K2" s="22"/>
      <c r="L2" s="22"/>
      <c r="M2" s="22"/>
      <c r="N2" s="22"/>
    </row>
    <row r="4" spans="1:14">
      <c r="A4" s="1" t="s">
        <v>247</v>
      </c>
      <c r="B4" s="20" t="s">
        <v>267</v>
      </c>
    </row>
    <row r="5" spans="1:14" ht="91.5" customHeight="1">
      <c r="A5" s="4" t="s">
        <v>248</v>
      </c>
      <c r="B5" s="22" t="s">
        <v>593</v>
      </c>
      <c r="C5" s="22"/>
      <c r="D5" s="22"/>
      <c r="E5" s="22"/>
      <c r="F5" s="22"/>
      <c r="G5" s="22"/>
      <c r="H5" s="22"/>
      <c r="I5" s="22"/>
      <c r="J5" s="22"/>
      <c r="K5" s="22"/>
      <c r="L5" s="22"/>
      <c r="M5" s="22"/>
      <c r="N5" s="22"/>
    </row>
    <row r="6" spans="1:14" ht="72.599999999999994" customHeight="1">
      <c r="A6" s="4" t="s">
        <v>269</v>
      </c>
      <c r="B6" s="22" t="s">
        <v>277</v>
      </c>
      <c r="C6" s="22"/>
      <c r="D6" s="22"/>
      <c r="E6" s="22"/>
      <c r="F6" s="22"/>
      <c r="G6" s="22"/>
      <c r="H6" s="22"/>
      <c r="I6" s="22"/>
      <c r="J6" s="22"/>
      <c r="K6" s="22"/>
      <c r="L6" s="22"/>
      <c r="M6" s="22"/>
      <c r="N6" s="22"/>
    </row>
    <row r="7" spans="1:14" ht="15" customHeight="1">
      <c r="A7" s="4"/>
      <c r="B7" s="24" t="s">
        <v>270</v>
      </c>
      <c r="C7" s="22"/>
      <c r="D7" s="22"/>
      <c r="E7" s="22"/>
      <c r="F7" s="22"/>
      <c r="G7" s="22"/>
      <c r="H7" s="22"/>
      <c r="I7" s="22"/>
      <c r="J7" s="22"/>
      <c r="K7" s="22"/>
      <c r="L7" s="22"/>
      <c r="M7" s="22"/>
      <c r="N7" s="22"/>
    </row>
    <row r="8" spans="1:14" ht="15" customHeight="1">
      <c r="A8" s="4"/>
      <c r="B8" s="26" t="s">
        <v>271</v>
      </c>
      <c r="C8" s="22"/>
      <c r="D8" s="22"/>
      <c r="E8" s="22"/>
      <c r="F8" s="22"/>
      <c r="G8" s="22"/>
      <c r="H8" s="22"/>
      <c r="I8" s="22"/>
      <c r="J8" s="22"/>
      <c r="K8" s="22"/>
      <c r="L8" s="22"/>
      <c r="M8" s="22"/>
      <c r="N8" s="22"/>
    </row>
    <row r="9" spans="1:14" ht="15" customHeight="1">
      <c r="A9" s="4"/>
      <c r="B9" s="25" t="s">
        <v>272</v>
      </c>
      <c r="C9" s="22"/>
      <c r="D9" s="22"/>
      <c r="E9" s="22"/>
      <c r="F9" s="22"/>
      <c r="G9" s="22"/>
      <c r="H9" s="22"/>
      <c r="I9" s="22"/>
      <c r="J9" s="22"/>
      <c r="K9" s="22"/>
      <c r="L9" s="22"/>
      <c r="M9" s="22"/>
      <c r="N9" s="22"/>
    </row>
    <row r="10" spans="1:14" ht="45" customHeight="1">
      <c r="A10" s="4" t="s">
        <v>249</v>
      </c>
      <c r="B10" s="22" t="s">
        <v>592</v>
      </c>
      <c r="C10" s="22"/>
      <c r="D10" s="22"/>
      <c r="E10" s="22"/>
      <c r="F10" s="22"/>
      <c r="G10" s="22"/>
      <c r="H10" s="22"/>
      <c r="I10" s="22"/>
      <c r="J10" s="22"/>
      <c r="K10" s="22"/>
      <c r="L10" s="22"/>
      <c r="M10" s="22"/>
      <c r="N10" s="22"/>
    </row>
    <row r="11" spans="1:14" ht="63" customHeight="1">
      <c r="A11" s="4" t="s">
        <v>250</v>
      </c>
      <c r="B11" s="22" t="s">
        <v>599</v>
      </c>
      <c r="C11" s="22"/>
      <c r="D11" s="22"/>
      <c r="E11" s="22"/>
      <c r="F11" s="22"/>
      <c r="G11" s="22"/>
      <c r="H11" s="22"/>
      <c r="I11" s="22"/>
      <c r="J11" s="22"/>
      <c r="K11" s="22"/>
      <c r="L11" s="22"/>
      <c r="M11" s="22"/>
      <c r="N11" s="22"/>
    </row>
    <row r="12" spans="1:14" ht="45" customHeight="1">
      <c r="A12" s="4"/>
      <c r="B12" s="29" t="s">
        <v>285</v>
      </c>
      <c r="C12" s="22"/>
      <c r="D12" s="22"/>
      <c r="E12" s="22"/>
      <c r="F12" s="22"/>
      <c r="G12" s="22"/>
      <c r="H12" s="22"/>
      <c r="I12" s="22"/>
      <c r="J12" s="22"/>
      <c r="K12" s="22"/>
      <c r="L12" s="22"/>
      <c r="M12" s="22"/>
      <c r="N12" s="22"/>
    </row>
    <row r="13" spans="1:14" ht="47.25" customHeight="1">
      <c r="A13" s="4"/>
      <c r="B13" s="29" t="s">
        <v>274</v>
      </c>
      <c r="C13" s="22"/>
      <c r="D13" s="22"/>
      <c r="E13" s="22"/>
      <c r="F13" s="22"/>
      <c r="G13" s="22"/>
      <c r="H13" s="22"/>
      <c r="I13" s="22"/>
      <c r="J13" s="22"/>
      <c r="K13" s="22"/>
      <c r="L13" s="22"/>
      <c r="M13" s="22"/>
      <c r="N13" s="22"/>
    </row>
    <row r="14" spans="1:14" ht="16.95" customHeight="1">
      <c r="A14" s="4"/>
      <c r="B14" s="30" t="s">
        <v>275</v>
      </c>
      <c r="C14" s="22"/>
      <c r="D14" s="22"/>
      <c r="E14" s="22"/>
      <c r="F14" s="22"/>
      <c r="G14" s="22"/>
      <c r="H14" s="22"/>
      <c r="I14" s="22"/>
      <c r="J14" s="22"/>
      <c r="K14" s="22"/>
      <c r="L14" s="22"/>
      <c r="M14" s="22"/>
      <c r="N14" s="22"/>
    </row>
    <row r="15" spans="1:14" ht="59.25" customHeight="1">
      <c r="A15" s="4"/>
      <c r="B15" s="30" t="s">
        <v>276</v>
      </c>
      <c r="C15" s="22"/>
      <c r="D15" s="22"/>
      <c r="E15" s="22"/>
      <c r="F15" s="22"/>
      <c r="G15" s="22"/>
      <c r="H15" s="22"/>
      <c r="I15" s="22"/>
      <c r="J15" s="22"/>
      <c r="K15" s="22"/>
      <c r="L15" s="22"/>
      <c r="M15" s="22"/>
      <c r="N15" s="22"/>
    </row>
    <row r="16" spans="1:14" ht="90.75" customHeight="1">
      <c r="A16" s="4"/>
      <c r="B16" s="29" t="s">
        <v>284</v>
      </c>
      <c r="C16" s="22"/>
      <c r="D16" s="22"/>
      <c r="E16" s="22"/>
      <c r="F16" s="22"/>
      <c r="G16" s="22"/>
      <c r="H16" s="22"/>
      <c r="I16" s="22"/>
      <c r="J16" s="22"/>
      <c r="K16" s="22"/>
      <c r="L16" s="22"/>
      <c r="M16" s="22"/>
      <c r="N16" s="22"/>
    </row>
    <row r="17" spans="1:14" ht="61.5" customHeight="1">
      <c r="A17" s="4" t="s">
        <v>251</v>
      </c>
      <c r="B17" s="22" t="s">
        <v>594</v>
      </c>
      <c r="C17" s="22"/>
      <c r="D17" s="22"/>
      <c r="E17" s="22"/>
      <c r="F17" s="22"/>
      <c r="G17" s="22"/>
      <c r="H17" s="22"/>
      <c r="I17" s="22"/>
      <c r="J17" s="22"/>
      <c r="K17" s="22"/>
      <c r="L17" s="22"/>
      <c r="M17" s="22"/>
      <c r="N17" s="22"/>
    </row>
    <row r="18" spans="1:14" ht="15" customHeight="1">
      <c r="A18" s="4"/>
      <c r="B18" s="22"/>
      <c r="C18" s="22"/>
      <c r="D18" s="22"/>
      <c r="E18" s="22"/>
      <c r="F18" s="22"/>
      <c r="G18" s="22"/>
      <c r="H18" s="22"/>
      <c r="I18" s="22"/>
      <c r="J18" s="22"/>
      <c r="K18" s="22"/>
      <c r="L18" s="22"/>
      <c r="M18" s="22"/>
      <c r="N18" s="22"/>
    </row>
    <row r="19" spans="1:14">
      <c r="A19" s="27" t="s">
        <v>273</v>
      </c>
    </row>
    <row r="20" spans="1:14">
      <c r="B20" s="17" t="s">
        <v>262</v>
      </c>
    </row>
    <row r="21" spans="1:14">
      <c r="B21" s="28" t="s">
        <v>259</v>
      </c>
      <c r="C21" s="4"/>
    </row>
    <row r="22" spans="1:14">
      <c r="B22" s="13" t="s">
        <v>288</v>
      </c>
      <c r="C22" s="4"/>
    </row>
    <row r="25" spans="1:14">
      <c r="A25" s="1" t="s">
        <v>286</v>
      </c>
    </row>
    <row r="27" spans="1:14">
      <c r="A27" t="s">
        <v>301</v>
      </c>
      <c r="B27" t="s">
        <v>287</v>
      </c>
    </row>
    <row r="28" spans="1:14" ht="63" customHeight="1">
      <c r="B28" s="23" t="s">
        <v>282</v>
      </c>
      <c r="C28" s="23"/>
      <c r="D28" s="23"/>
      <c r="E28" s="23"/>
      <c r="F28" s="23"/>
      <c r="G28" s="23"/>
      <c r="H28" s="23"/>
      <c r="I28" s="23"/>
      <c r="J28" s="23"/>
      <c r="K28" s="23"/>
      <c r="L28" s="23"/>
      <c r="M28" s="23"/>
      <c r="N28" s="23"/>
    </row>
    <row r="29" spans="1:14">
      <c r="A29" t="s">
        <v>302</v>
      </c>
      <c r="B29" t="s">
        <v>280</v>
      </c>
    </row>
    <row r="30" spans="1:14" ht="14.55" customHeight="1">
      <c r="B30" s="23" t="s">
        <v>281</v>
      </c>
      <c r="C30" s="23"/>
      <c r="D30" s="23"/>
      <c r="E30" s="23"/>
      <c r="F30" s="23"/>
      <c r="G30" s="23"/>
      <c r="H30" s="23"/>
      <c r="I30" s="23"/>
      <c r="J30" s="23"/>
      <c r="K30" s="23"/>
      <c r="L30" s="23"/>
      <c r="M30" s="23"/>
      <c r="N30" s="23"/>
    </row>
    <row r="31" spans="1:14">
      <c r="A31" t="s">
        <v>303</v>
      </c>
      <c r="B31" t="s">
        <v>242</v>
      </c>
    </row>
    <row r="32" spans="1:14" ht="45.75" customHeight="1">
      <c r="B32" s="23" t="s">
        <v>241</v>
      </c>
      <c r="C32" s="23"/>
      <c r="D32" s="23"/>
      <c r="E32" s="23"/>
      <c r="F32" s="23"/>
      <c r="G32" s="23"/>
      <c r="H32" s="23"/>
      <c r="I32" s="23"/>
      <c r="J32" s="23"/>
      <c r="K32" s="23"/>
      <c r="L32" s="23"/>
      <c r="M32" s="23"/>
      <c r="N32" s="23"/>
    </row>
    <row r="33" spans="1:14">
      <c r="A33" t="s">
        <v>304</v>
      </c>
      <c r="B33" t="s">
        <v>243</v>
      </c>
    </row>
    <row r="34" spans="1:14" ht="89.25" customHeight="1">
      <c r="B34" s="23" t="s">
        <v>244</v>
      </c>
      <c r="C34" s="23"/>
      <c r="D34" s="23"/>
      <c r="E34" s="23"/>
      <c r="F34" s="23"/>
      <c r="G34" s="23"/>
      <c r="H34" s="23"/>
      <c r="I34" s="23"/>
      <c r="J34" s="23"/>
      <c r="K34" s="23"/>
      <c r="L34" s="23"/>
      <c r="M34" s="23"/>
      <c r="N34" s="23"/>
    </row>
    <row r="35" spans="1:14">
      <c r="A35" t="s">
        <v>305</v>
      </c>
      <c r="B35" t="s">
        <v>245</v>
      </c>
    </row>
    <row r="36" spans="1:14" ht="46.5" customHeight="1">
      <c r="B36" s="23" t="s">
        <v>246</v>
      </c>
      <c r="C36" s="23"/>
      <c r="D36" s="23"/>
      <c r="E36" s="23"/>
      <c r="F36" s="23"/>
      <c r="G36" s="23"/>
      <c r="H36" s="23"/>
      <c r="I36" s="23"/>
      <c r="J36" s="23"/>
      <c r="K36" s="23"/>
      <c r="L36" s="23"/>
      <c r="M36" s="23"/>
      <c r="N36" s="23"/>
    </row>
    <row r="37" spans="1:14" ht="15" customHeight="1">
      <c r="A37" t="s">
        <v>306</v>
      </c>
      <c r="B37" s="6" t="s">
        <v>283</v>
      </c>
      <c r="C37" s="5"/>
      <c r="D37" s="5"/>
      <c r="E37" s="5"/>
      <c r="F37" s="5"/>
      <c r="G37" s="5"/>
      <c r="H37" s="5"/>
      <c r="I37" s="5"/>
      <c r="J37" s="5"/>
      <c r="K37" s="5"/>
      <c r="L37" s="5"/>
      <c r="M37" s="5"/>
      <c r="N37" s="5"/>
    </row>
    <row r="38" spans="1:14" ht="15" customHeight="1">
      <c r="B38" s="6"/>
      <c r="C38" s="5"/>
      <c r="D38" s="5"/>
      <c r="E38" s="5"/>
      <c r="F38" s="5"/>
      <c r="G38" s="5"/>
      <c r="H38" s="5"/>
      <c r="I38" s="5"/>
      <c r="J38" s="5"/>
      <c r="K38" s="5"/>
      <c r="L38" s="5"/>
      <c r="M38" s="5"/>
      <c r="N38" s="5"/>
    </row>
    <row r="39" spans="1:14" ht="15" customHeight="1">
      <c r="A39" s="7" t="s">
        <v>258</v>
      </c>
      <c r="B39" s="8" t="s">
        <v>279</v>
      </c>
      <c r="C39" s="5"/>
      <c r="D39" s="5"/>
      <c r="E39" s="5"/>
      <c r="F39" s="5"/>
      <c r="G39" s="5"/>
      <c r="H39" s="5"/>
      <c r="I39" s="5"/>
      <c r="J39" s="5"/>
      <c r="K39" s="5"/>
      <c r="L39" s="5"/>
      <c r="M39" s="5"/>
      <c r="N39" s="5"/>
    </row>
    <row r="41" spans="1:14" ht="15" customHeight="1">
      <c r="A41" s="1" t="s">
        <v>596</v>
      </c>
      <c r="B41" s="8"/>
      <c r="C41" s="5"/>
      <c r="D41" s="5"/>
      <c r="E41" s="5"/>
      <c r="F41" s="5"/>
      <c r="G41" s="5"/>
      <c r="H41" s="5"/>
      <c r="I41" s="5"/>
      <c r="J41" s="5"/>
      <c r="K41" s="5"/>
      <c r="L41" s="5"/>
      <c r="M41" s="5"/>
      <c r="N41" s="5"/>
    </row>
    <row r="42" spans="1:14" ht="15" customHeight="1">
      <c r="A42" s="7"/>
      <c r="B42" s="8"/>
      <c r="C42" s="5"/>
      <c r="D42" s="5"/>
      <c r="E42" s="5"/>
      <c r="F42" s="5"/>
      <c r="G42" s="5"/>
      <c r="H42" s="5"/>
      <c r="I42" s="5"/>
      <c r="J42" s="5"/>
      <c r="K42" s="5"/>
      <c r="L42" s="5"/>
      <c r="M42" s="5"/>
      <c r="N42" s="5"/>
    </row>
    <row r="43" spans="1:14" ht="15" customHeight="1">
      <c r="A43" t="s">
        <v>307</v>
      </c>
      <c r="B43" s="23" t="s">
        <v>308</v>
      </c>
      <c r="C43" s="5"/>
      <c r="D43" s="5"/>
      <c r="E43" s="5"/>
      <c r="F43" s="5"/>
      <c r="G43" s="5"/>
      <c r="H43" s="5"/>
      <c r="I43" s="5"/>
      <c r="J43" s="5"/>
      <c r="K43" s="5"/>
      <c r="L43" s="5"/>
      <c r="M43" s="5"/>
      <c r="N43" s="5"/>
    </row>
    <row r="44" spans="1:14" ht="15" customHeight="1">
      <c r="B44" s="23" t="s">
        <v>309</v>
      </c>
      <c r="C44" s="5"/>
      <c r="D44" s="5"/>
      <c r="E44" s="5"/>
      <c r="F44" s="5"/>
      <c r="G44" s="5"/>
      <c r="H44" s="5"/>
      <c r="I44" s="5"/>
      <c r="J44" s="5"/>
      <c r="K44" s="5"/>
      <c r="L44" s="5"/>
      <c r="M44" s="5"/>
      <c r="N44" s="5"/>
    </row>
    <row r="45" spans="1:14" ht="15" customHeight="1">
      <c r="A45" t="s">
        <v>310</v>
      </c>
      <c r="B45" s="23" t="s">
        <v>327</v>
      </c>
      <c r="C45" s="5"/>
      <c r="D45" s="5"/>
      <c r="E45" s="5"/>
      <c r="F45" s="5"/>
      <c r="G45" s="5"/>
      <c r="H45" s="5"/>
      <c r="I45" s="5"/>
      <c r="J45" s="5"/>
      <c r="K45" s="5"/>
      <c r="L45" s="5"/>
      <c r="M45" s="5"/>
      <c r="N45" s="5"/>
    </row>
    <row r="46" spans="1:14" ht="26.55" customHeight="1">
      <c r="B46" s="23" t="s">
        <v>328</v>
      </c>
      <c r="C46" s="5"/>
      <c r="D46" s="5"/>
      <c r="E46" s="5"/>
      <c r="F46" s="5"/>
      <c r="G46" s="5"/>
      <c r="H46" s="5"/>
      <c r="I46" s="5"/>
      <c r="J46" s="5"/>
      <c r="K46" s="5"/>
      <c r="L46" s="5"/>
      <c r="M46" s="5"/>
      <c r="N46" s="5"/>
    </row>
    <row r="47" spans="1:14" ht="15" customHeight="1">
      <c r="A47" t="s">
        <v>311</v>
      </c>
      <c r="B47" s="23" t="s">
        <v>312</v>
      </c>
      <c r="C47" s="5"/>
      <c r="D47" s="5"/>
      <c r="E47" s="5"/>
      <c r="F47" s="5"/>
      <c r="G47" s="5"/>
      <c r="H47" s="5"/>
      <c r="I47" s="5"/>
      <c r="J47" s="5"/>
      <c r="K47" s="5"/>
      <c r="L47" s="5"/>
      <c r="M47" s="5"/>
      <c r="N47" s="5"/>
    </row>
    <row r="48" spans="1:14" ht="15" customHeight="1">
      <c r="B48" s="23" t="s">
        <v>313</v>
      </c>
      <c r="C48" s="5"/>
      <c r="D48" s="5"/>
      <c r="E48" s="5"/>
      <c r="F48" s="5"/>
      <c r="G48" s="5"/>
      <c r="H48" s="5"/>
      <c r="I48" s="5"/>
      <c r="J48" s="5"/>
      <c r="K48" s="5"/>
      <c r="L48" s="5"/>
      <c r="M48" s="5"/>
      <c r="N48" s="5"/>
    </row>
    <row r="49" spans="1:14" ht="15" customHeight="1">
      <c r="A49" t="s">
        <v>314</v>
      </c>
      <c r="B49" s="23" t="s">
        <v>329</v>
      </c>
      <c r="C49" s="5"/>
      <c r="D49" s="5"/>
      <c r="E49" s="5"/>
      <c r="F49" s="5"/>
      <c r="G49" s="5"/>
      <c r="H49" s="5"/>
      <c r="I49" s="5"/>
      <c r="J49" s="5"/>
      <c r="K49" s="5"/>
      <c r="L49" s="5"/>
      <c r="M49" s="5"/>
      <c r="N49" s="5"/>
    </row>
    <row r="50" spans="1:14" ht="15" customHeight="1">
      <c r="B50" s="23" t="s">
        <v>281</v>
      </c>
      <c r="C50" s="5"/>
      <c r="D50" s="5"/>
      <c r="E50" s="5"/>
      <c r="F50" s="5"/>
      <c r="G50" s="5"/>
      <c r="H50" s="5"/>
      <c r="I50" s="5"/>
      <c r="J50" s="5"/>
      <c r="K50" s="5"/>
      <c r="L50" s="5"/>
      <c r="M50" s="5"/>
      <c r="N50" s="5"/>
    </row>
    <row r="51" spans="1:14" ht="15" customHeight="1">
      <c r="A51" t="s">
        <v>315</v>
      </c>
      <c r="B51" s="23" t="s">
        <v>316</v>
      </c>
      <c r="C51" s="5"/>
      <c r="D51" s="5"/>
      <c r="E51" s="5"/>
      <c r="F51" s="5"/>
      <c r="G51" s="5"/>
      <c r="H51" s="5"/>
      <c r="I51" s="5"/>
      <c r="J51" s="5"/>
      <c r="K51" s="5"/>
      <c r="L51" s="5"/>
      <c r="M51" s="5"/>
      <c r="N51" s="5"/>
    </row>
    <row r="52" spans="1:14" ht="15" customHeight="1">
      <c r="B52" s="23" t="s">
        <v>330</v>
      </c>
      <c r="C52" s="5"/>
      <c r="D52" s="5"/>
      <c r="E52" s="5"/>
      <c r="F52" s="5"/>
      <c r="G52" s="5"/>
      <c r="H52" s="5"/>
      <c r="I52" s="5"/>
      <c r="J52" s="5"/>
      <c r="K52" s="5"/>
      <c r="L52" s="5"/>
      <c r="M52" s="5"/>
      <c r="N52" s="5"/>
    </row>
    <row r="53" spans="1:14" ht="15" customHeight="1">
      <c r="A53" t="s">
        <v>317</v>
      </c>
      <c r="B53" s="23" t="s">
        <v>318</v>
      </c>
      <c r="C53" s="5"/>
      <c r="D53" s="5"/>
      <c r="E53" s="5"/>
      <c r="F53" s="5"/>
      <c r="G53" s="5"/>
      <c r="H53" s="5"/>
      <c r="I53" s="5"/>
      <c r="J53" s="5"/>
      <c r="K53" s="5"/>
      <c r="L53" s="5"/>
      <c r="M53" s="5"/>
      <c r="N53" s="5"/>
    </row>
    <row r="54" spans="1:14" ht="15" customHeight="1">
      <c r="B54" s="23" t="s">
        <v>331</v>
      </c>
      <c r="C54" s="5"/>
      <c r="D54" s="5"/>
      <c r="E54" s="5"/>
      <c r="F54" s="5"/>
      <c r="G54" s="5"/>
      <c r="H54" s="5"/>
      <c r="I54" s="5"/>
      <c r="J54" s="5"/>
      <c r="K54" s="5"/>
      <c r="L54" s="5"/>
      <c r="M54" s="5"/>
      <c r="N54" s="5"/>
    </row>
    <row r="55" spans="1:14" ht="15" customHeight="1">
      <c r="A55" t="s">
        <v>319</v>
      </c>
      <c r="B55" s="23" t="s">
        <v>332</v>
      </c>
      <c r="C55" s="5"/>
      <c r="D55" s="5"/>
      <c r="E55" s="5"/>
      <c r="F55" s="5"/>
      <c r="G55" s="5"/>
      <c r="H55" s="5"/>
      <c r="I55" s="5"/>
      <c r="J55" s="5"/>
      <c r="K55" s="5"/>
      <c r="L55" s="5"/>
      <c r="M55" s="5"/>
      <c r="N55" s="5"/>
    </row>
    <row r="56" spans="1:14" ht="30.6" customHeight="1">
      <c r="B56" s="23" t="s">
        <v>320</v>
      </c>
      <c r="C56" s="5"/>
      <c r="D56" s="5"/>
      <c r="E56" s="5"/>
      <c r="F56" s="5"/>
      <c r="G56" s="5"/>
      <c r="H56" s="5"/>
      <c r="I56" s="5"/>
      <c r="J56" s="5"/>
      <c r="K56" s="5"/>
      <c r="L56" s="5"/>
      <c r="M56" s="5"/>
      <c r="N56" s="5"/>
    </row>
    <row r="57" spans="1:14" ht="15" customHeight="1">
      <c r="A57" t="s">
        <v>321</v>
      </c>
      <c r="B57" s="23" t="s">
        <v>333</v>
      </c>
      <c r="C57" s="5"/>
      <c r="D57" s="5"/>
      <c r="E57" s="5"/>
      <c r="F57" s="5"/>
      <c r="G57" s="5"/>
      <c r="H57" s="5"/>
      <c r="I57" s="5"/>
      <c r="J57" s="5"/>
      <c r="K57" s="5"/>
      <c r="L57" s="5"/>
      <c r="M57" s="5"/>
      <c r="N57" s="5"/>
    </row>
    <row r="58" spans="1:14" ht="59.55" customHeight="1">
      <c r="B58" s="23" t="s">
        <v>322</v>
      </c>
      <c r="C58" s="5"/>
      <c r="D58" s="5"/>
      <c r="E58" s="5"/>
      <c r="F58" s="5"/>
      <c r="G58" s="5"/>
      <c r="H58" s="5"/>
      <c r="I58" s="5"/>
      <c r="J58" s="5"/>
      <c r="K58" s="5"/>
      <c r="L58" s="5"/>
      <c r="M58" s="5"/>
      <c r="N58" s="5"/>
    </row>
    <row r="59" spans="1:14" ht="15" customHeight="1">
      <c r="A59" t="s">
        <v>323</v>
      </c>
      <c r="B59" s="23" t="s">
        <v>334</v>
      </c>
      <c r="C59" s="5"/>
      <c r="D59" s="5"/>
      <c r="E59" s="5"/>
      <c r="F59" s="5"/>
      <c r="G59" s="5"/>
      <c r="H59" s="5"/>
      <c r="I59" s="5"/>
      <c r="J59" s="5"/>
      <c r="K59" s="5"/>
      <c r="L59" s="5"/>
      <c r="M59" s="5"/>
      <c r="N59" s="5"/>
    </row>
    <row r="60" spans="1:14" ht="15" customHeight="1">
      <c r="B60" s="23" t="s">
        <v>337</v>
      </c>
      <c r="C60" s="5"/>
      <c r="D60" s="5"/>
      <c r="E60" s="5"/>
      <c r="F60" s="5"/>
      <c r="G60" s="5"/>
      <c r="H60" s="5"/>
      <c r="I60" s="5"/>
      <c r="J60" s="5"/>
      <c r="K60" s="5"/>
      <c r="L60" s="5"/>
      <c r="M60" s="5"/>
      <c r="N60" s="5"/>
    </row>
    <row r="61" spans="1:14" ht="15" customHeight="1">
      <c r="A61" t="s">
        <v>324</v>
      </c>
      <c r="B61" s="23" t="s">
        <v>325</v>
      </c>
      <c r="C61" s="5"/>
      <c r="D61" s="5"/>
      <c r="E61" s="5"/>
      <c r="F61" s="5"/>
      <c r="G61" s="5"/>
      <c r="H61" s="5"/>
      <c r="I61" s="5"/>
      <c r="J61" s="5"/>
      <c r="K61" s="5"/>
      <c r="L61" s="5"/>
      <c r="M61" s="5"/>
      <c r="N61" s="5"/>
    </row>
    <row r="62" spans="1:14" ht="45" customHeight="1">
      <c r="B62" s="23" t="s">
        <v>246</v>
      </c>
      <c r="C62" s="5"/>
      <c r="D62" s="5"/>
      <c r="E62" s="5"/>
      <c r="F62" s="5"/>
      <c r="G62" s="5"/>
      <c r="H62" s="5"/>
      <c r="I62" s="5"/>
      <c r="J62" s="5"/>
      <c r="K62" s="5"/>
      <c r="L62" s="5"/>
      <c r="M62" s="5"/>
      <c r="N62" s="5"/>
    </row>
    <row r="63" spans="1:14" ht="15" customHeight="1">
      <c r="A63" t="s">
        <v>326</v>
      </c>
      <c r="B63" s="6" t="s">
        <v>595</v>
      </c>
      <c r="C63" s="5"/>
      <c r="D63" s="5"/>
      <c r="E63" s="5"/>
      <c r="F63" s="5"/>
      <c r="G63" s="5"/>
      <c r="H63" s="5"/>
      <c r="I63" s="5"/>
      <c r="J63" s="5"/>
      <c r="K63" s="5"/>
      <c r="L63" s="5"/>
      <c r="M63" s="5"/>
      <c r="N63" s="5"/>
    </row>
    <row r="64" spans="1:14" ht="15" customHeight="1">
      <c r="B64" s="23"/>
      <c r="C64" s="5"/>
      <c r="D64" s="5"/>
      <c r="E64" s="5"/>
      <c r="F64" s="5"/>
      <c r="G64" s="5"/>
      <c r="H64" s="5"/>
      <c r="I64" s="5"/>
      <c r="J64" s="5"/>
      <c r="K64" s="5"/>
      <c r="L64" s="5"/>
      <c r="M64" s="5"/>
      <c r="N64" s="5"/>
    </row>
    <row r="65" spans="1:2">
      <c r="A65" s="1" t="s">
        <v>335</v>
      </c>
    </row>
    <row r="67" spans="1:2">
      <c r="A67" t="s">
        <v>12</v>
      </c>
      <c r="B67" t="s">
        <v>289</v>
      </c>
    </row>
    <row r="68" spans="1:2">
      <c r="A68" t="s">
        <v>15</v>
      </c>
      <c r="B68" t="s">
        <v>290</v>
      </c>
    </row>
    <row r="69" spans="1:2">
      <c r="A69" t="s">
        <v>32</v>
      </c>
      <c r="B69" t="s">
        <v>255</v>
      </c>
    </row>
    <row r="70" spans="1:2">
      <c r="A70" t="s">
        <v>40</v>
      </c>
      <c r="B70" t="s">
        <v>291</v>
      </c>
    </row>
    <row r="71" spans="1:2">
      <c r="A71" t="s">
        <v>46</v>
      </c>
      <c r="B71" t="s">
        <v>253</v>
      </c>
    </row>
    <row r="72" spans="1:2" ht="15" customHeight="1">
      <c r="A72" t="s">
        <v>240</v>
      </c>
      <c r="B72" t="s">
        <v>292</v>
      </c>
    </row>
    <row r="73" spans="1:2" ht="15" customHeight="1">
      <c r="A73" t="s">
        <v>102</v>
      </c>
      <c r="B73" t="s">
        <v>256</v>
      </c>
    </row>
    <row r="74" spans="1:2" ht="15" customHeight="1">
      <c r="A74" t="s">
        <v>103</v>
      </c>
      <c r="B74" t="s">
        <v>293</v>
      </c>
    </row>
    <row r="75" spans="1:2" ht="15" customHeight="1">
      <c r="A75" t="s">
        <v>110</v>
      </c>
      <c r="B75" t="s">
        <v>257</v>
      </c>
    </row>
    <row r="76" spans="1:2" ht="15" customHeight="1">
      <c r="A76" t="s">
        <v>141</v>
      </c>
      <c r="B76" t="s">
        <v>294</v>
      </c>
    </row>
    <row r="77" spans="1:2" ht="15" customHeight="1">
      <c r="A77" t="s">
        <v>179</v>
      </c>
      <c r="B77" t="s">
        <v>254</v>
      </c>
    </row>
    <row r="78" spans="1:2" ht="15" customHeight="1">
      <c r="A78" t="s">
        <v>189</v>
      </c>
      <c r="B78" t="s">
        <v>295</v>
      </c>
    </row>
    <row r="79" spans="1:2" ht="15" customHeight="1">
      <c r="A79" t="s">
        <v>298</v>
      </c>
      <c r="B79" t="s">
        <v>296</v>
      </c>
    </row>
    <row r="80" spans="1:2" ht="15" customHeight="1">
      <c r="A80" t="s">
        <v>299</v>
      </c>
      <c r="B80" t="s">
        <v>300</v>
      </c>
    </row>
    <row r="81" spans="1:2" ht="15" customHeight="1">
      <c r="A81" t="s">
        <v>212</v>
      </c>
      <c r="B81" t="s">
        <v>562</v>
      </c>
    </row>
    <row r="82" spans="1:2" ht="15" customHeight="1">
      <c r="A82" t="s">
        <v>218</v>
      </c>
      <c r="B82" t="s">
        <v>297</v>
      </c>
    </row>
    <row r="83" spans="1:2" ht="15" customHeight="1">
      <c r="A83" t="s">
        <v>226</v>
      </c>
      <c r="B83" t="s">
        <v>252</v>
      </c>
    </row>
    <row r="84" spans="1:2">
      <c r="A84" t="s">
        <v>232</v>
      </c>
      <c r="B84" t="s">
        <v>336</v>
      </c>
    </row>
  </sheetData>
  <mergeCells count="1">
    <mergeCell ref="A2:B2"/>
  </mergeCells>
  <phoneticPr fontId="1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8"/>
  <sheetViews>
    <sheetView topLeftCell="A6" workbookViewId="0">
      <selection activeCell="B18" sqref="B18"/>
    </sheetView>
  </sheetViews>
  <sheetFormatPr defaultColWidth="9.109375" defaultRowHeight="14.4"/>
  <cols>
    <col min="1" max="1" width="17" style="16" customWidth="1"/>
    <col min="2" max="2" width="19.109375" style="10" customWidth="1"/>
    <col min="3" max="3" width="59.88671875" style="10" customWidth="1"/>
    <col min="4" max="4" width="9.109375" customWidth="1"/>
    <col min="7" max="7" width="4" bestFit="1" customWidth="1"/>
    <col min="8" max="8" width="13.21875" bestFit="1" customWidth="1"/>
    <col min="12" max="12" width="4" bestFit="1" customWidth="1"/>
    <col min="13" max="13" width="18" bestFit="1" customWidth="1"/>
  </cols>
  <sheetData>
    <row r="1" spans="1:13">
      <c r="A1" s="18" t="s">
        <v>0</v>
      </c>
      <c r="B1" s="14" t="s">
        <v>263</v>
      </c>
      <c r="C1" s="14" t="s">
        <v>278</v>
      </c>
    </row>
    <row r="2" spans="1:13">
      <c r="A2" s="16" t="s">
        <v>625</v>
      </c>
      <c r="B2" s="10" t="s">
        <v>226</v>
      </c>
      <c r="C2" s="10" t="s">
        <v>226</v>
      </c>
      <c r="G2">
        <v>570</v>
      </c>
      <c r="H2" t="str">
        <f>A2</f>
        <v>AIM/CGE V2.2</v>
      </c>
      <c r="I2" t="str">
        <f>C2</f>
        <v>USA</v>
      </c>
      <c r="J2" t="s">
        <v>601</v>
      </c>
      <c r="L2">
        <f>G2</f>
        <v>570</v>
      </c>
      <c r="M2" t="str">
        <f>CONCATENATE(A2,"|",B2)</f>
        <v>AIM/CGE V2.2|USA</v>
      </c>
    </row>
    <row r="3" spans="1:13">
      <c r="A3" s="16" t="s">
        <v>625</v>
      </c>
      <c r="B3" s="10" t="s">
        <v>602</v>
      </c>
      <c r="C3" s="10" t="s">
        <v>240</v>
      </c>
      <c r="G3">
        <v>571</v>
      </c>
      <c r="H3" t="str">
        <f t="shared" ref="H3:H18" si="0">A3</f>
        <v>AIM/CGE V2.2</v>
      </c>
      <c r="I3" t="str">
        <f t="shared" ref="I3:I18" si="1">C3</f>
        <v>EU</v>
      </c>
      <c r="J3" t="s">
        <v>601</v>
      </c>
      <c r="L3">
        <f t="shared" ref="L3:L18" si="2">G3</f>
        <v>571</v>
      </c>
      <c r="M3" t="str">
        <f t="shared" ref="M3:M18" si="3">CONCATENATE(A3,"|",B3)</f>
        <v>AIM/CGE V2.2|XE25</v>
      </c>
    </row>
    <row r="4" spans="1:13">
      <c r="A4" s="16" t="s">
        <v>625</v>
      </c>
      <c r="B4" s="10" t="s">
        <v>603</v>
      </c>
      <c r="C4" s="10" t="s">
        <v>604</v>
      </c>
      <c r="G4">
        <v>572</v>
      </c>
      <c r="H4" t="str">
        <f t="shared" si="0"/>
        <v>AIM/CGE V2.2</v>
      </c>
      <c r="I4" t="str">
        <f t="shared" si="1"/>
        <v>Rest of Europe</v>
      </c>
      <c r="J4" t="s">
        <v>601</v>
      </c>
      <c r="L4">
        <f t="shared" si="2"/>
        <v>572</v>
      </c>
      <c r="M4" t="str">
        <f t="shared" si="3"/>
        <v>AIM/CGE V2.2|XER</v>
      </c>
    </row>
    <row r="5" spans="1:13">
      <c r="A5" s="16" t="s">
        <v>625</v>
      </c>
      <c r="B5" s="10" t="s">
        <v>218</v>
      </c>
      <c r="C5" s="10" t="s">
        <v>605</v>
      </c>
      <c r="G5">
        <v>573</v>
      </c>
      <c r="H5" t="str">
        <f t="shared" si="0"/>
        <v>AIM/CGE V2.2</v>
      </c>
      <c r="I5" t="str">
        <f t="shared" si="1"/>
        <v>Turkey</v>
      </c>
      <c r="J5" t="s">
        <v>601</v>
      </c>
      <c r="L5">
        <f t="shared" si="2"/>
        <v>573</v>
      </c>
      <c r="M5" t="str">
        <f t="shared" si="3"/>
        <v>AIM/CGE V2.2|TUR</v>
      </c>
    </row>
    <row r="6" spans="1:13">
      <c r="A6" s="16" t="s">
        <v>625</v>
      </c>
      <c r="B6" s="10" t="s">
        <v>606</v>
      </c>
      <c r="C6" s="10" t="s">
        <v>607</v>
      </c>
      <c r="G6">
        <v>574</v>
      </c>
      <c r="H6" t="str">
        <f t="shared" si="0"/>
        <v>AIM/CGE V2.2</v>
      </c>
      <c r="I6" t="str">
        <f t="shared" si="1"/>
        <v>New Zealand and Australia</v>
      </c>
      <c r="J6" t="s">
        <v>601</v>
      </c>
      <c r="L6">
        <f t="shared" si="2"/>
        <v>574</v>
      </c>
      <c r="M6" t="str">
        <f t="shared" si="3"/>
        <v>AIM/CGE V2.2|XOC</v>
      </c>
    </row>
    <row r="7" spans="1:13">
      <c r="A7" s="16" t="s">
        <v>625</v>
      </c>
      <c r="B7" s="10" t="s">
        <v>46</v>
      </c>
      <c r="C7" s="10" t="s">
        <v>608</v>
      </c>
      <c r="G7">
        <v>575</v>
      </c>
      <c r="H7" t="str">
        <f t="shared" si="0"/>
        <v>AIM/CGE V2.2</v>
      </c>
      <c r="I7" t="str">
        <f t="shared" si="1"/>
        <v>China</v>
      </c>
      <c r="J7" t="s">
        <v>601</v>
      </c>
      <c r="L7">
        <f t="shared" si="2"/>
        <v>575</v>
      </c>
      <c r="M7" t="str">
        <f t="shared" si="3"/>
        <v>AIM/CGE V2.2|CHN</v>
      </c>
    </row>
    <row r="8" spans="1:13">
      <c r="A8" s="16" t="s">
        <v>625</v>
      </c>
      <c r="B8" s="10" t="s">
        <v>102</v>
      </c>
      <c r="C8" s="10" t="s">
        <v>609</v>
      </c>
      <c r="G8">
        <v>576</v>
      </c>
      <c r="H8" t="str">
        <f t="shared" si="0"/>
        <v>AIM/CGE V2.2</v>
      </c>
      <c r="I8" t="str">
        <f t="shared" si="1"/>
        <v>India</v>
      </c>
      <c r="J8" t="s">
        <v>601</v>
      </c>
      <c r="L8">
        <f t="shared" si="2"/>
        <v>576</v>
      </c>
      <c r="M8" t="str">
        <f t="shared" si="3"/>
        <v>AIM/CGE V2.2|IND</v>
      </c>
    </row>
    <row r="9" spans="1:13">
      <c r="A9" s="16" t="s">
        <v>625</v>
      </c>
      <c r="B9" s="10" t="s">
        <v>110</v>
      </c>
      <c r="C9" s="10" t="s">
        <v>600</v>
      </c>
      <c r="G9">
        <v>577</v>
      </c>
      <c r="H9" t="str">
        <f t="shared" si="0"/>
        <v>AIM/CGE V2.2</v>
      </c>
      <c r="I9" t="str">
        <f t="shared" si="1"/>
        <v>Japan</v>
      </c>
      <c r="J9" t="s">
        <v>601</v>
      </c>
      <c r="L9">
        <f t="shared" si="2"/>
        <v>577</v>
      </c>
      <c r="M9" t="str">
        <f t="shared" si="3"/>
        <v>AIM/CGE V2.2|JPN</v>
      </c>
    </row>
    <row r="10" spans="1:13">
      <c r="A10" s="16" t="s">
        <v>625</v>
      </c>
      <c r="B10" s="10" t="s">
        <v>610</v>
      </c>
      <c r="C10" s="10" t="s">
        <v>611</v>
      </c>
      <c r="G10">
        <v>578</v>
      </c>
      <c r="H10" t="str">
        <f t="shared" si="0"/>
        <v>AIM/CGE V2.2</v>
      </c>
      <c r="I10" t="str">
        <f t="shared" si="1"/>
        <v>Rest of East and South East Asia</v>
      </c>
      <c r="J10" t="s">
        <v>601</v>
      </c>
      <c r="L10">
        <f t="shared" si="2"/>
        <v>578</v>
      </c>
      <c r="M10" t="str">
        <f t="shared" si="3"/>
        <v>AIM/CGE V2.2|XSE</v>
      </c>
    </row>
    <row r="11" spans="1:13">
      <c r="A11" s="16" t="s">
        <v>625</v>
      </c>
      <c r="B11" s="10" t="s">
        <v>612</v>
      </c>
      <c r="C11" s="10" t="s">
        <v>613</v>
      </c>
      <c r="G11">
        <v>579</v>
      </c>
      <c r="H11" t="str">
        <f t="shared" si="0"/>
        <v>AIM/CGE V2.2</v>
      </c>
      <c r="I11" t="str">
        <f t="shared" si="1"/>
        <v>Rest of Asia</v>
      </c>
      <c r="J11" t="s">
        <v>601</v>
      </c>
      <c r="L11">
        <f t="shared" si="2"/>
        <v>579</v>
      </c>
      <c r="M11" t="str">
        <f t="shared" si="3"/>
        <v>AIM/CGE V2.2|XSA</v>
      </c>
    </row>
    <row r="12" spans="1:13">
      <c r="A12" s="16" t="s">
        <v>625</v>
      </c>
      <c r="B12" s="10" t="s">
        <v>40</v>
      </c>
      <c r="C12" s="10" t="s">
        <v>291</v>
      </c>
      <c r="G12">
        <v>580</v>
      </c>
      <c r="H12" t="str">
        <f t="shared" si="0"/>
        <v>AIM/CGE V2.2</v>
      </c>
      <c r="I12" t="str">
        <f t="shared" si="1"/>
        <v>Canada</v>
      </c>
      <c r="J12" t="s">
        <v>601</v>
      </c>
      <c r="L12">
        <f t="shared" si="2"/>
        <v>580</v>
      </c>
      <c r="M12" t="str">
        <f t="shared" si="3"/>
        <v>AIM/CGE V2.2|CAN</v>
      </c>
    </row>
    <row r="13" spans="1:13">
      <c r="A13" s="16" t="s">
        <v>625</v>
      </c>
      <c r="B13" s="10" t="s">
        <v>32</v>
      </c>
      <c r="C13" s="10" t="s">
        <v>614</v>
      </c>
      <c r="G13">
        <v>581</v>
      </c>
      <c r="H13" t="str">
        <f t="shared" si="0"/>
        <v>AIM/CGE V2.2</v>
      </c>
      <c r="I13" t="str">
        <f t="shared" si="1"/>
        <v>Brazil</v>
      </c>
      <c r="J13" t="s">
        <v>601</v>
      </c>
      <c r="L13">
        <f t="shared" si="2"/>
        <v>581</v>
      </c>
      <c r="M13" t="str">
        <f t="shared" si="3"/>
        <v>AIM/CGE V2.2|BRA</v>
      </c>
    </row>
    <row r="14" spans="1:13">
      <c r="A14" s="16" t="s">
        <v>625</v>
      </c>
      <c r="B14" s="10" t="s">
        <v>615</v>
      </c>
      <c r="C14" s="10" t="s">
        <v>616</v>
      </c>
      <c r="G14">
        <v>582</v>
      </c>
      <c r="H14" t="str">
        <f t="shared" si="0"/>
        <v>AIM/CGE V2.2</v>
      </c>
      <c r="I14" t="str">
        <f t="shared" si="1"/>
        <v>Rest of Brazil</v>
      </c>
      <c r="J14" t="s">
        <v>601</v>
      </c>
      <c r="L14">
        <f t="shared" si="2"/>
        <v>582</v>
      </c>
      <c r="M14" t="str">
        <f t="shared" si="3"/>
        <v>AIM/CGE V2.2|XLM</v>
      </c>
    </row>
    <row r="15" spans="1:13">
      <c r="A15" s="16" t="s">
        <v>625</v>
      </c>
      <c r="B15" s="10" t="s">
        <v>617</v>
      </c>
      <c r="C15" s="10" t="s">
        <v>618</v>
      </c>
      <c r="G15">
        <v>583</v>
      </c>
      <c r="H15" t="str">
        <f t="shared" si="0"/>
        <v>AIM/CGE V2.2</v>
      </c>
      <c r="I15" t="str">
        <f t="shared" si="1"/>
        <v>Former USSR</v>
      </c>
      <c r="J15" t="s">
        <v>601</v>
      </c>
      <c r="L15">
        <f t="shared" si="2"/>
        <v>583</v>
      </c>
      <c r="M15" t="str">
        <f t="shared" si="3"/>
        <v>AIM/CGE V2.2|CIS</v>
      </c>
    </row>
    <row r="16" spans="1:13">
      <c r="A16" s="16" t="s">
        <v>625</v>
      </c>
      <c r="B16" s="10" t="s">
        <v>619</v>
      </c>
      <c r="C16" s="10" t="s">
        <v>620</v>
      </c>
      <c r="G16">
        <v>584</v>
      </c>
      <c r="H16" t="str">
        <f t="shared" si="0"/>
        <v>AIM/CGE V2.2</v>
      </c>
      <c r="I16" t="str">
        <f t="shared" si="1"/>
        <v>Middle East</v>
      </c>
      <c r="J16" t="s">
        <v>601</v>
      </c>
      <c r="L16">
        <f t="shared" si="2"/>
        <v>584</v>
      </c>
      <c r="M16" t="str">
        <f t="shared" si="3"/>
        <v>AIM/CGE V2.2|XME</v>
      </c>
    </row>
    <row r="17" spans="1:13">
      <c r="A17" s="16" t="s">
        <v>625</v>
      </c>
      <c r="B17" s="10" t="s">
        <v>621</v>
      </c>
      <c r="C17" s="10" t="s">
        <v>622</v>
      </c>
      <c r="G17">
        <v>585</v>
      </c>
      <c r="H17" t="str">
        <f t="shared" si="0"/>
        <v>AIM/CGE V2.2</v>
      </c>
      <c r="I17" t="str">
        <f t="shared" si="1"/>
        <v>North Africa</v>
      </c>
      <c r="J17" t="s">
        <v>601</v>
      </c>
      <c r="L17">
        <f t="shared" si="2"/>
        <v>585</v>
      </c>
      <c r="M17" t="str">
        <f t="shared" si="3"/>
        <v>AIM/CGE V2.2|XNF</v>
      </c>
    </row>
    <row r="18" spans="1:13">
      <c r="A18" s="16" t="s">
        <v>625</v>
      </c>
      <c r="B18" s="10" t="s">
        <v>623</v>
      </c>
      <c r="C18" s="10" t="s">
        <v>624</v>
      </c>
      <c r="G18">
        <v>586</v>
      </c>
      <c r="H18" t="str">
        <f t="shared" si="0"/>
        <v>AIM/CGE V2.2</v>
      </c>
      <c r="I18" t="str">
        <f t="shared" si="1"/>
        <v>Other Africa</v>
      </c>
      <c r="J18" t="s">
        <v>601</v>
      </c>
      <c r="L18">
        <f t="shared" si="2"/>
        <v>586</v>
      </c>
      <c r="M18" t="str">
        <f t="shared" si="3"/>
        <v>AIM/CGE V2.2|XAF</v>
      </c>
    </row>
  </sheetData>
  <phoneticPr fontId="11"/>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1"/>
  <sheetViews>
    <sheetView workbookViewId="0">
      <selection activeCell="C49" sqref="C49"/>
    </sheetView>
  </sheetViews>
  <sheetFormatPr defaultColWidth="9.109375" defaultRowHeight="14.4"/>
  <cols>
    <col min="1" max="1" width="24.33203125" style="16" customWidth="1"/>
    <col min="2" max="2" width="34.109375" style="10" customWidth="1"/>
    <col min="3" max="3" width="40.6640625" style="12" customWidth="1"/>
  </cols>
  <sheetData>
    <row r="1" spans="1:3" s="1" customFormat="1">
      <c r="A1" s="40" t="s">
        <v>598</v>
      </c>
      <c r="B1" s="40"/>
      <c r="C1" s="40"/>
    </row>
    <row r="2" spans="1:3" s="1" customFormat="1">
      <c r="A2" s="19" t="s">
        <v>0</v>
      </c>
      <c r="B2" s="9" t="s">
        <v>260</v>
      </c>
      <c r="C2" s="11" t="s">
        <v>261</v>
      </c>
    </row>
    <row r="3" spans="1:3">
      <c r="A3" s="16" t="s">
        <v>625</v>
      </c>
      <c r="B3" s="10" t="s">
        <v>226</v>
      </c>
      <c r="C3" s="12" t="s">
        <v>601</v>
      </c>
    </row>
    <row r="4" spans="1:3">
      <c r="A4" s="16" t="s">
        <v>625</v>
      </c>
      <c r="B4" s="10" t="s">
        <v>602</v>
      </c>
      <c r="C4" s="12" t="s">
        <v>601</v>
      </c>
    </row>
    <row r="5" spans="1:3">
      <c r="A5" s="16" t="s">
        <v>625</v>
      </c>
      <c r="B5" s="10" t="s">
        <v>603</v>
      </c>
      <c r="C5" s="12" t="s">
        <v>601</v>
      </c>
    </row>
    <row r="6" spans="1:3">
      <c r="A6" s="16" t="s">
        <v>625</v>
      </c>
      <c r="B6" s="10" t="s">
        <v>218</v>
      </c>
      <c r="C6" s="12" t="s">
        <v>601</v>
      </c>
    </row>
    <row r="7" spans="1:3">
      <c r="A7" s="16" t="s">
        <v>625</v>
      </c>
      <c r="B7" s="10" t="s">
        <v>606</v>
      </c>
      <c r="C7" s="12" t="s">
        <v>601</v>
      </c>
    </row>
    <row r="8" spans="1:3">
      <c r="A8" s="16" t="s">
        <v>625</v>
      </c>
      <c r="B8" s="10" t="s">
        <v>46</v>
      </c>
      <c r="C8" s="12" t="s">
        <v>601</v>
      </c>
    </row>
    <row r="9" spans="1:3">
      <c r="A9" s="16" t="s">
        <v>625</v>
      </c>
      <c r="B9" s="10" t="s">
        <v>102</v>
      </c>
      <c r="C9" s="12" t="s">
        <v>601</v>
      </c>
    </row>
    <row r="10" spans="1:3">
      <c r="A10" s="16" t="s">
        <v>625</v>
      </c>
      <c r="B10" s="10" t="s">
        <v>110</v>
      </c>
      <c r="C10" s="12" t="s">
        <v>601</v>
      </c>
    </row>
    <row r="11" spans="1:3">
      <c r="A11" s="16" t="s">
        <v>625</v>
      </c>
      <c r="B11" s="10" t="s">
        <v>610</v>
      </c>
      <c r="C11" s="12" t="s">
        <v>601</v>
      </c>
    </row>
    <row r="12" spans="1:3">
      <c r="A12" s="16" t="s">
        <v>625</v>
      </c>
      <c r="B12" s="10" t="s">
        <v>612</v>
      </c>
      <c r="C12" s="12" t="s">
        <v>601</v>
      </c>
    </row>
    <row r="13" spans="1:3">
      <c r="A13" s="16" t="s">
        <v>625</v>
      </c>
      <c r="B13" s="10" t="s">
        <v>40</v>
      </c>
      <c r="C13" s="12" t="s">
        <v>601</v>
      </c>
    </row>
    <row r="14" spans="1:3">
      <c r="A14" s="16" t="s">
        <v>625</v>
      </c>
      <c r="B14" s="10" t="s">
        <v>32</v>
      </c>
      <c r="C14" s="12" t="s">
        <v>601</v>
      </c>
    </row>
    <row r="15" spans="1:3">
      <c r="A15" s="16" t="s">
        <v>625</v>
      </c>
      <c r="B15" s="10" t="s">
        <v>615</v>
      </c>
      <c r="C15" s="12" t="s">
        <v>601</v>
      </c>
    </row>
    <row r="16" spans="1:3">
      <c r="A16" s="16" t="s">
        <v>625</v>
      </c>
      <c r="B16" s="10" t="s">
        <v>617</v>
      </c>
      <c r="C16" s="12" t="s">
        <v>601</v>
      </c>
    </row>
    <row r="17" spans="1:3">
      <c r="A17" s="16" t="s">
        <v>625</v>
      </c>
      <c r="B17" s="10" t="s">
        <v>619</v>
      </c>
      <c r="C17" s="12" t="s">
        <v>601</v>
      </c>
    </row>
    <row r="18" spans="1:3">
      <c r="A18" s="16" t="s">
        <v>625</v>
      </c>
      <c r="B18" s="10" t="s">
        <v>621</v>
      </c>
      <c r="C18" s="12" t="s">
        <v>601</v>
      </c>
    </row>
    <row r="19" spans="1:3">
      <c r="A19" s="16" t="s">
        <v>625</v>
      </c>
      <c r="B19" s="10" t="s">
        <v>623</v>
      </c>
      <c r="C19" s="12" t="s">
        <v>601</v>
      </c>
    </row>
    <row r="20" spans="1:3">
      <c r="A20" s="16" t="s">
        <v>625</v>
      </c>
      <c r="B20" s="10" t="s">
        <v>46</v>
      </c>
      <c r="C20" s="12" t="s">
        <v>303</v>
      </c>
    </row>
    <row r="21" spans="1:3">
      <c r="A21" s="16" t="s">
        <v>625</v>
      </c>
      <c r="B21" s="10" t="s">
        <v>102</v>
      </c>
      <c r="C21" s="12" t="s">
        <v>303</v>
      </c>
    </row>
    <row r="22" spans="1:3">
      <c r="A22" s="16" t="s">
        <v>625</v>
      </c>
      <c r="B22" s="10" t="s">
        <v>610</v>
      </c>
      <c r="C22" s="12" t="s">
        <v>303</v>
      </c>
    </row>
    <row r="23" spans="1:3">
      <c r="A23" s="16" t="s">
        <v>625</v>
      </c>
      <c r="B23" s="10" t="s">
        <v>612</v>
      </c>
      <c r="C23" s="12" t="s">
        <v>303</v>
      </c>
    </row>
    <row r="24" spans="1:3">
      <c r="A24" s="16" t="s">
        <v>625</v>
      </c>
      <c r="B24" s="10" t="s">
        <v>32</v>
      </c>
      <c r="C24" s="12" t="s">
        <v>305</v>
      </c>
    </row>
    <row r="25" spans="1:3">
      <c r="A25" s="16" t="s">
        <v>625</v>
      </c>
      <c r="B25" s="10" t="s">
        <v>615</v>
      </c>
      <c r="C25" s="12" t="s">
        <v>305</v>
      </c>
    </row>
    <row r="26" spans="1:3">
      <c r="A26" s="16" t="s">
        <v>625</v>
      </c>
      <c r="B26" s="10" t="s">
        <v>619</v>
      </c>
      <c r="C26" s="12" t="s">
        <v>304</v>
      </c>
    </row>
    <row r="27" spans="1:3">
      <c r="A27" s="16" t="s">
        <v>625</v>
      </c>
      <c r="B27" s="10" t="s">
        <v>621</v>
      </c>
      <c r="C27" s="12" t="s">
        <v>304</v>
      </c>
    </row>
    <row r="28" spans="1:3">
      <c r="A28" s="16" t="s">
        <v>625</v>
      </c>
      <c r="B28" s="10" t="s">
        <v>623</v>
      </c>
      <c r="C28" s="12" t="s">
        <v>304</v>
      </c>
    </row>
    <row r="29" spans="1:3">
      <c r="A29" s="16" t="s">
        <v>625</v>
      </c>
      <c r="B29" s="10" t="s">
        <v>226</v>
      </c>
      <c r="C29" s="12" t="s">
        <v>301</v>
      </c>
    </row>
    <row r="30" spans="1:3">
      <c r="A30" s="16" t="s">
        <v>625</v>
      </c>
      <c r="B30" s="10" t="s">
        <v>602</v>
      </c>
      <c r="C30" s="12" t="s">
        <v>301</v>
      </c>
    </row>
    <row r="31" spans="1:3">
      <c r="A31" s="16" t="s">
        <v>625</v>
      </c>
      <c r="B31" s="10" t="s">
        <v>218</v>
      </c>
      <c r="C31" s="12" t="s">
        <v>301</v>
      </c>
    </row>
    <row r="32" spans="1:3">
      <c r="A32" s="16" t="s">
        <v>625</v>
      </c>
      <c r="B32" s="10" t="s">
        <v>606</v>
      </c>
      <c r="C32" s="12" t="s">
        <v>301</v>
      </c>
    </row>
    <row r="33" spans="1:3">
      <c r="A33" s="16" t="s">
        <v>625</v>
      </c>
      <c r="B33" s="10" t="s">
        <v>110</v>
      </c>
      <c r="C33" s="12" t="s">
        <v>301</v>
      </c>
    </row>
    <row r="34" spans="1:3">
      <c r="A34" s="16" t="s">
        <v>625</v>
      </c>
      <c r="B34" s="10" t="s">
        <v>40</v>
      </c>
      <c r="C34" s="12" t="s">
        <v>301</v>
      </c>
    </row>
    <row r="35" spans="1:3">
      <c r="A35" s="16" t="s">
        <v>625</v>
      </c>
      <c r="B35" s="10" t="s">
        <v>603</v>
      </c>
      <c r="C35" s="12" t="s">
        <v>301</v>
      </c>
    </row>
    <row r="36" spans="1:3">
      <c r="A36" s="16" t="s">
        <v>625</v>
      </c>
      <c r="B36" s="10" t="s">
        <v>617</v>
      </c>
      <c r="C36" s="12" t="s">
        <v>302</v>
      </c>
    </row>
    <row r="37" spans="1:3">
      <c r="A37" s="16" t="s">
        <v>625</v>
      </c>
      <c r="B37" s="10" t="s">
        <v>226</v>
      </c>
      <c r="C37" s="12" t="s">
        <v>226</v>
      </c>
    </row>
    <row r="38" spans="1:3">
      <c r="A38" s="16" t="s">
        <v>625</v>
      </c>
      <c r="B38" s="10" t="s">
        <v>617</v>
      </c>
      <c r="C38" s="12" t="s">
        <v>179</v>
      </c>
    </row>
    <row r="39" spans="1:3">
      <c r="A39" s="16" t="s">
        <v>625</v>
      </c>
      <c r="B39" s="10" t="s">
        <v>32</v>
      </c>
      <c r="C39" s="12" t="s">
        <v>32</v>
      </c>
    </row>
    <row r="40" spans="1:3">
      <c r="A40" s="16" t="s">
        <v>625</v>
      </c>
      <c r="B40" s="10" t="s">
        <v>46</v>
      </c>
      <c r="C40" s="12" t="s">
        <v>46</v>
      </c>
    </row>
    <row r="41" spans="1:3">
      <c r="A41" s="16" t="s">
        <v>625</v>
      </c>
      <c r="B41" s="10" t="s">
        <v>626</v>
      </c>
      <c r="C41" s="12" t="s">
        <v>240</v>
      </c>
    </row>
    <row r="42" spans="1:3">
      <c r="A42" s="16" t="s">
        <v>625</v>
      </c>
      <c r="B42" s="10" t="s">
        <v>627</v>
      </c>
      <c r="C42" s="12" t="s">
        <v>240</v>
      </c>
    </row>
    <row r="43" spans="1:3">
      <c r="A43" s="16" t="s">
        <v>625</v>
      </c>
      <c r="B43" s="10" t="s">
        <v>102</v>
      </c>
      <c r="C43" s="12" t="s">
        <v>102</v>
      </c>
    </row>
    <row r="44" spans="1:3">
      <c r="A44" s="16" t="s">
        <v>625</v>
      </c>
      <c r="B44" s="10" t="s">
        <v>110</v>
      </c>
      <c r="C44" s="12" t="s">
        <v>110</v>
      </c>
    </row>
    <row r="45" spans="1:3">
      <c r="A45" s="16" t="s">
        <v>625</v>
      </c>
      <c r="B45" s="10" t="s">
        <v>226</v>
      </c>
      <c r="C45" s="12" t="s">
        <v>307</v>
      </c>
    </row>
    <row r="46" spans="1:3">
      <c r="A46" s="16" t="s">
        <v>625</v>
      </c>
      <c r="B46" s="10" t="s">
        <v>628</v>
      </c>
      <c r="C46" s="12" t="s">
        <v>307</v>
      </c>
    </row>
    <row r="47" spans="1:3">
      <c r="A47" s="16" t="s">
        <v>625</v>
      </c>
      <c r="B47" s="10" t="s">
        <v>602</v>
      </c>
      <c r="C47" s="12" t="s">
        <v>310</v>
      </c>
    </row>
    <row r="48" spans="1:3">
      <c r="A48" s="16" t="s">
        <v>625</v>
      </c>
      <c r="B48" s="10" t="s">
        <v>218</v>
      </c>
      <c r="C48" s="12" t="s">
        <v>310</v>
      </c>
    </row>
    <row r="49" spans="1:3">
      <c r="A49" s="16" t="s">
        <v>625</v>
      </c>
      <c r="B49" s="10" t="s">
        <v>629</v>
      </c>
      <c r="C49" s="12" t="s">
        <v>311</v>
      </c>
    </row>
    <row r="50" spans="1:3">
      <c r="A50" s="16" t="s">
        <v>625</v>
      </c>
      <c r="B50" s="10" t="s">
        <v>630</v>
      </c>
      <c r="C50" s="12" t="s">
        <v>311</v>
      </c>
    </row>
    <row r="51" spans="1:3">
      <c r="A51" s="16" t="s">
        <v>625</v>
      </c>
      <c r="B51" s="10" t="s">
        <v>631</v>
      </c>
      <c r="C51" s="12" t="s">
        <v>314</v>
      </c>
    </row>
    <row r="52" spans="1:3">
      <c r="A52" s="16" t="s">
        <v>625</v>
      </c>
      <c r="B52" s="10" t="s">
        <v>632</v>
      </c>
      <c r="C52" s="12" t="s">
        <v>314</v>
      </c>
    </row>
    <row r="53" spans="1:3">
      <c r="A53" s="16" t="s">
        <v>625</v>
      </c>
      <c r="B53" s="10" t="s">
        <v>621</v>
      </c>
      <c r="C53" s="12" t="s">
        <v>321</v>
      </c>
    </row>
    <row r="54" spans="1:3">
      <c r="A54" s="16" t="s">
        <v>625</v>
      </c>
      <c r="B54" s="10" t="s">
        <v>623</v>
      </c>
      <c r="C54" s="12" t="s">
        <v>321</v>
      </c>
    </row>
    <row r="55" spans="1:3">
      <c r="A55" s="16" t="s">
        <v>625</v>
      </c>
      <c r="B55" s="10" t="s">
        <v>619</v>
      </c>
      <c r="C55" s="12" t="s">
        <v>323</v>
      </c>
    </row>
    <row r="56" spans="1:3">
      <c r="A56" s="16" t="s">
        <v>625</v>
      </c>
      <c r="B56" s="10" t="s">
        <v>633</v>
      </c>
      <c r="C56" s="12" t="s">
        <v>324</v>
      </c>
    </row>
    <row r="57" spans="1:3" ht="15" thickBot="1">
      <c r="A57" s="16" t="s">
        <v>625</v>
      </c>
      <c r="B57" s="10" t="s">
        <v>634</v>
      </c>
      <c r="C57" s="12" t="s">
        <v>324</v>
      </c>
    </row>
    <row r="58" spans="1:3">
      <c r="A58" s="31" t="s">
        <v>625</v>
      </c>
      <c r="B58" s="32" t="s">
        <v>46</v>
      </c>
      <c r="C58" s="33" t="s">
        <v>315</v>
      </c>
    </row>
    <row r="59" spans="1:3">
      <c r="A59" s="34" t="s">
        <v>625</v>
      </c>
      <c r="B59" s="10" t="s">
        <v>102</v>
      </c>
      <c r="C59" s="35" t="s">
        <v>317</v>
      </c>
    </row>
    <row r="60" spans="1:3">
      <c r="A60" s="34" t="s">
        <v>625</v>
      </c>
      <c r="B60" s="10" t="s">
        <v>610</v>
      </c>
      <c r="C60" s="35" t="s">
        <v>319</v>
      </c>
    </row>
    <row r="61" spans="1:3" ht="15" thickBot="1">
      <c r="A61" s="36" t="s">
        <v>625</v>
      </c>
      <c r="B61" s="37" t="s">
        <v>612</v>
      </c>
      <c r="C61" s="38" t="s">
        <v>319</v>
      </c>
    </row>
  </sheetData>
  <mergeCells count="1">
    <mergeCell ref="A1:C1"/>
  </mergeCells>
  <phoneticPr fontId="11"/>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W248"/>
  <sheetViews>
    <sheetView tabSelected="1" topLeftCell="A24" zoomScale="85" workbookViewId="0">
      <selection activeCell="D249" sqref="D249"/>
    </sheetView>
  </sheetViews>
  <sheetFormatPr defaultColWidth="9.109375" defaultRowHeight="13.2"/>
  <cols>
    <col min="1" max="1" width="20.33203125" style="15" customWidth="1"/>
    <col min="2" max="2" width="31.88671875" style="15" customWidth="1"/>
    <col min="3" max="3" width="9.21875" style="2" bestFit="1" customWidth="1"/>
    <col min="4" max="4" width="40.33203125" style="2" bestFit="1" customWidth="1"/>
    <col min="5" max="16384" width="9.109375" style="2"/>
  </cols>
  <sheetData>
    <row r="1" spans="1:23" s="3" customFormat="1">
      <c r="A1" s="14" t="s">
        <v>263</v>
      </c>
      <c r="B1" s="14" t="s">
        <v>266</v>
      </c>
      <c r="C1" s="3" t="s">
        <v>2</v>
      </c>
      <c r="D1" s="3" t="s">
        <v>1</v>
      </c>
    </row>
    <row r="2" spans="1:23" hidden="1">
      <c r="A2" s="15" t="s">
        <v>615</v>
      </c>
      <c r="B2" s="15" t="s">
        <v>616</v>
      </c>
      <c r="C2" s="2" t="s">
        <v>14</v>
      </c>
      <c r="D2" s="2" t="s">
        <v>338</v>
      </c>
      <c r="E2" s="2" t="str">
        <f>A2</f>
        <v>XLM</v>
      </c>
      <c r="G2" s="15"/>
      <c r="H2" s="15" t="str">
        <f t="shared" ref="H2:H65" si="0">VLOOKUP(J2,$S$2:$W$265,2,FALSE)</f>
        <v>.</v>
      </c>
      <c r="I2" s="2" t="str">
        <f t="shared" ref="I2:I33" si="1">IF(L2="#N/A","*","")</f>
        <v/>
      </c>
      <c r="J2" s="2" t="s">
        <v>14</v>
      </c>
      <c r="K2" s="2" t="s">
        <v>635</v>
      </c>
      <c r="L2" s="2" t="str">
        <f>VLOOKUP(J2,C2:$E$248,3,FALSE)</f>
        <v>XLM</v>
      </c>
      <c r="M2" s="2" t="str">
        <f t="shared" ref="M2:M65" si="2">""""&amp;D2&amp;""""</f>
        <v>"Aruba "</v>
      </c>
      <c r="S2" s="2" t="s">
        <v>3</v>
      </c>
      <c r="T2" s="2" t="s">
        <v>860</v>
      </c>
      <c r="U2" s="2" t="str">
        <f>VLOOKUP(S2,$J$2:$M$248,3,FALSE)</f>
        <v>XSA</v>
      </c>
      <c r="V2" s="2" t="str">
        <f>""""&amp;W2&amp;""""</f>
        <v>"Afghanistan"</v>
      </c>
      <c r="W2" s="2" t="s">
        <v>637</v>
      </c>
    </row>
    <row r="3" spans="1:23">
      <c r="A3" s="15" t="s">
        <v>612</v>
      </c>
      <c r="B3" s="15" t="s">
        <v>613</v>
      </c>
      <c r="C3" s="2" t="s">
        <v>3</v>
      </c>
      <c r="D3" s="2" t="s">
        <v>339</v>
      </c>
      <c r="E3" s="2" t="str">
        <f t="shared" ref="E3:E66" si="3">A3</f>
        <v>XSA</v>
      </c>
      <c r="G3" s="15"/>
      <c r="H3" s="15" t="str">
        <f t="shared" si="0"/>
        <v>.</v>
      </c>
      <c r="I3" s="2" t="str">
        <f t="shared" si="1"/>
        <v/>
      </c>
      <c r="J3" s="2" t="s">
        <v>3</v>
      </c>
      <c r="K3" s="2" t="s">
        <v>635</v>
      </c>
      <c r="L3" s="2" t="str">
        <f>VLOOKUP(J3,C3:$E$248,3,FALSE)</f>
        <v>XSA</v>
      </c>
      <c r="M3" s="2" t="str">
        <f t="shared" si="2"/>
        <v>"Afghanistan "</v>
      </c>
      <c r="S3" s="2" t="s">
        <v>4</v>
      </c>
      <c r="T3" s="2" t="s">
        <v>860</v>
      </c>
      <c r="U3" s="2" t="str">
        <f t="shared" ref="U3:U66" si="4">VLOOKUP(S3,$J$2:$M$248,3,FALSE)</f>
        <v>XER</v>
      </c>
      <c r="V3" s="2" t="str">
        <f t="shared" ref="V3:V66" si="5">""""&amp;W3&amp;""""</f>
        <v>"Albania"</v>
      </c>
      <c r="W3" s="2" t="s">
        <v>638</v>
      </c>
    </row>
    <row r="4" spans="1:23" hidden="1">
      <c r="A4" s="15" t="s">
        <v>623</v>
      </c>
      <c r="B4" s="15" t="s">
        <v>624</v>
      </c>
      <c r="C4" s="2" t="s">
        <v>8</v>
      </c>
      <c r="D4" s="2" t="s">
        <v>340</v>
      </c>
      <c r="E4" s="2" t="str">
        <f t="shared" si="3"/>
        <v>XAF</v>
      </c>
      <c r="G4" s="15"/>
      <c r="H4" s="15" t="str">
        <f t="shared" si="0"/>
        <v>.</v>
      </c>
      <c r="I4" s="2" t="str">
        <f t="shared" si="1"/>
        <v/>
      </c>
      <c r="J4" s="2" t="s">
        <v>8</v>
      </c>
      <c r="K4" s="2" t="s">
        <v>635</v>
      </c>
      <c r="L4" s="2" t="str">
        <f>VLOOKUP(J4,C4:$E$248,3,FALSE)</f>
        <v>XAF</v>
      </c>
      <c r="M4" s="2" t="str">
        <f t="shared" si="2"/>
        <v>"Angola "</v>
      </c>
      <c r="S4" s="2" t="s">
        <v>5</v>
      </c>
      <c r="T4" s="2" t="s">
        <v>860</v>
      </c>
      <c r="U4" s="2" t="str">
        <f t="shared" si="4"/>
        <v>XNF</v>
      </c>
      <c r="V4" s="2" t="str">
        <f t="shared" si="5"/>
        <v>"Algeria"</v>
      </c>
      <c r="W4" s="2" t="s">
        <v>639</v>
      </c>
    </row>
    <row r="5" spans="1:23" hidden="1">
      <c r="A5" s="15" t="s">
        <v>615</v>
      </c>
      <c r="B5" s="15" t="s">
        <v>616</v>
      </c>
      <c r="C5" s="2" t="s">
        <v>9</v>
      </c>
      <c r="D5" s="2" t="s">
        <v>341</v>
      </c>
      <c r="E5" s="2" t="str">
        <f t="shared" si="3"/>
        <v>XLM</v>
      </c>
      <c r="G5" s="15"/>
      <c r="H5" s="15" t="e">
        <f t="shared" si="0"/>
        <v>#N/A</v>
      </c>
      <c r="I5" s="2" t="str">
        <f t="shared" si="1"/>
        <v/>
      </c>
      <c r="J5" s="2" t="s">
        <v>9</v>
      </c>
      <c r="K5" s="2" t="s">
        <v>635</v>
      </c>
      <c r="L5" s="2" t="str">
        <f>VLOOKUP(J5,C5:$E$248,3,FALSE)</f>
        <v>XLM</v>
      </c>
      <c r="M5" s="2" t="str">
        <f t="shared" si="2"/>
        <v>"Anguilla "</v>
      </c>
      <c r="S5" s="2" t="s">
        <v>6</v>
      </c>
      <c r="T5" s="2" t="s">
        <v>860</v>
      </c>
      <c r="U5" s="2" t="str">
        <f t="shared" si="4"/>
        <v>XSA</v>
      </c>
      <c r="V5" s="2" t="str">
        <f t="shared" si="5"/>
        <v>"American Samoa"</v>
      </c>
      <c r="W5" s="2" t="s">
        <v>640</v>
      </c>
    </row>
    <row r="6" spans="1:23" hidden="1">
      <c r="A6" s="15" t="e">
        <v>#N/A</v>
      </c>
      <c r="B6" s="15" t="e">
        <v>#N/A</v>
      </c>
      <c r="C6" s="2" t="s">
        <v>342</v>
      </c>
      <c r="D6" s="2" t="s">
        <v>343</v>
      </c>
      <c r="E6" s="2" t="e">
        <f t="shared" si="3"/>
        <v>#N/A</v>
      </c>
      <c r="G6" s="15"/>
      <c r="H6" s="15" t="e">
        <f t="shared" si="0"/>
        <v>#N/A</v>
      </c>
      <c r="I6" s="2" t="e">
        <f t="shared" si="1"/>
        <v>#N/A</v>
      </c>
      <c r="J6" s="2" t="s">
        <v>342</v>
      </c>
      <c r="K6" s="2" t="s">
        <v>635</v>
      </c>
      <c r="L6" s="2" t="e">
        <f>VLOOKUP(J6,C6:$E$248,3,FALSE)</f>
        <v>#N/A</v>
      </c>
      <c r="M6" s="2" t="str">
        <f t="shared" si="2"/>
        <v>"Åland Islands "</v>
      </c>
      <c r="S6" s="2" t="s">
        <v>7</v>
      </c>
      <c r="T6" s="2" t="s">
        <v>860</v>
      </c>
      <c r="U6" s="2" t="str">
        <f t="shared" si="4"/>
        <v>XER</v>
      </c>
      <c r="V6" s="2" t="str">
        <f t="shared" si="5"/>
        <v>"Andorra"</v>
      </c>
      <c r="W6" s="2" t="s">
        <v>641</v>
      </c>
    </row>
    <row r="7" spans="1:23" hidden="1">
      <c r="A7" s="15" t="s">
        <v>603</v>
      </c>
      <c r="B7" s="15" t="s">
        <v>604</v>
      </c>
      <c r="C7" s="2" t="s">
        <v>4</v>
      </c>
      <c r="D7" s="2" t="s">
        <v>344</v>
      </c>
      <c r="E7" s="2" t="str">
        <f t="shared" si="3"/>
        <v>XER</v>
      </c>
      <c r="G7" s="15"/>
      <c r="H7" s="15" t="str">
        <f t="shared" si="0"/>
        <v>.</v>
      </c>
      <c r="I7" s="2" t="str">
        <f t="shared" si="1"/>
        <v/>
      </c>
      <c r="J7" s="2" t="s">
        <v>4</v>
      </c>
      <c r="K7" s="2" t="s">
        <v>635</v>
      </c>
      <c r="L7" s="2" t="str">
        <f>VLOOKUP(J7,C7:$E$248,3,FALSE)</f>
        <v>XER</v>
      </c>
      <c r="M7" s="2" t="str">
        <f t="shared" si="2"/>
        <v>"Albania "</v>
      </c>
      <c r="S7" s="2" t="s">
        <v>8</v>
      </c>
      <c r="T7" s="2" t="s">
        <v>860</v>
      </c>
      <c r="U7" s="2" t="str">
        <f t="shared" si="4"/>
        <v>XAF</v>
      </c>
      <c r="V7" s="2" t="str">
        <f t="shared" si="5"/>
        <v>"Angola"</v>
      </c>
      <c r="W7" s="2" t="s">
        <v>642</v>
      </c>
    </row>
    <row r="8" spans="1:23" hidden="1">
      <c r="A8" s="15" t="s">
        <v>603</v>
      </c>
      <c r="B8" s="15" t="s">
        <v>604</v>
      </c>
      <c r="C8" s="2" t="s">
        <v>7</v>
      </c>
      <c r="D8" s="2" t="s">
        <v>345</v>
      </c>
      <c r="E8" s="2" t="str">
        <f t="shared" si="3"/>
        <v>XER</v>
      </c>
      <c r="G8" s="15"/>
      <c r="H8" s="15" t="str">
        <f t="shared" si="0"/>
        <v>.</v>
      </c>
      <c r="I8" s="2" t="str">
        <f t="shared" si="1"/>
        <v/>
      </c>
      <c r="J8" s="2" t="s">
        <v>7</v>
      </c>
      <c r="K8" s="2" t="s">
        <v>635</v>
      </c>
      <c r="L8" s="2" t="str">
        <f>VLOOKUP(J8,C8:$E$248,3,FALSE)</f>
        <v>XER</v>
      </c>
      <c r="M8" s="2" t="str">
        <f t="shared" si="2"/>
        <v>"Andorra "</v>
      </c>
      <c r="S8" s="2" t="s">
        <v>11</v>
      </c>
      <c r="T8" s="2" t="s">
        <v>860</v>
      </c>
      <c r="U8" s="2" t="str">
        <f t="shared" si="4"/>
        <v>XLM</v>
      </c>
      <c r="V8" s="2" t="str">
        <f t="shared" si="5"/>
        <v>"Antigua and Barbuda"</v>
      </c>
      <c r="W8" s="2" t="s">
        <v>643</v>
      </c>
    </row>
    <row r="9" spans="1:23" hidden="1">
      <c r="A9" s="15" t="s">
        <v>615</v>
      </c>
      <c r="B9" s="15" t="s">
        <v>616</v>
      </c>
      <c r="C9" s="2" t="s">
        <v>154</v>
      </c>
      <c r="D9" s="2" t="s">
        <v>346</v>
      </c>
      <c r="E9" s="2" t="str">
        <f t="shared" si="3"/>
        <v>XLM</v>
      </c>
      <c r="G9" s="15"/>
      <c r="H9" s="15" t="e">
        <f t="shared" si="0"/>
        <v>#N/A</v>
      </c>
      <c r="I9" s="2" t="str">
        <f t="shared" si="1"/>
        <v/>
      </c>
      <c r="J9" s="2" t="s">
        <v>154</v>
      </c>
      <c r="K9" s="2" t="s">
        <v>635</v>
      </c>
      <c r="L9" s="2" t="str">
        <f>VLOOKUP(J9,C9:$E$248,3,FALSE)</f>
        <v>XLM</v>
      </c>
      <c r="M9" s="2" t="str">
        <f t="shared" si="2"/>
        <v>"Netherlands Antilles "</v>
      </c>
      <c r="S9" s="2" t="s">
        <v>12</v>
      </c>
      <c r="T9" s="2" t="s">
        <v>860</v>
      </c>
      <c r="U9" s="2" t="str">
        <f t="shared" si="4"/>
        <v>XLM</v>
      </c>
      <c r="V9" s="2" t="str">
        <f t="shared" si="5"/>
        <v>"Argentina"</v>
      </c>
      <c r="W9" s="2" t="s">
        <v>644</v>
      </c>
    </row>
    <row r="10" spans="1:23" hidden="1">
      <c r="A10" s="15" t="s">
        <v>619</v>
      </c>
      <c r="B10" s="15" t="s">
        <v>620</v>
      </c>
      <c r="C10" s="2" t="s">
        <v>224</v>
      </c>
      <c r="D10" s="2" t="s">
        <v>347</v>
      </c>
      <c r="E10" s="2" t="str">
        <f t="shared" si="3"/>
        <v>XME</v>
      </c>
      <c r="G10" s="15"/>
      <c r="H10" s="15" t="str">
        <f t="shared" si="0"/>
        <v>.</v>
      </c>
      <c r="I10" s="2" t="str">
        <f t="shared" si="1"/>
        <v/>
      </c>
      <c r="J10" s="2" t="s">
        <v>224</v>
      </c>
      <c r="K10" s="2" t="s">
        <v>635</v>
      </c>
      <c r="L10" s="2" t="str">
        <f>VLOOKUP(J10,C10:$E$248,3,FALSE)</f>
        <v>XME</v>
      </c>
      <c r="M10" s="2" t="str">
        <f t="shared" si="2"/>
        <v>"United Arab Emirates "</v>
      </c>
      <c r="S10" s="2" t="s">
        <v>13</v>
      </c>
      <c r="T10" s="2" t="s">
        <v>860</v>
      </c>
      <c r="U10" s="2" t="str">
        <f t="shared" si="4"/>
        <v>CIS</v>
      </c>
      <c r="V10" s="2" t="str">
        <f t="shared" si="5"/>
        <v>"Armenia"</v>
      </c>
      <c r="W10" s="2" t="s">
        <v>645</v>
      </c>
    </row>
    <row r="11" spans="1:23" hidden="1">
      <c r="A11" s="15" t="s">
        <v>615</v>
      </c>
      <c r="B11" s="15" t="s">
        <v>616</v>
      </c>
      <c r="C11" s="2" t="s">
        <v>12</v>
      </c>
      <c r="D11" s="2" t="s">
        <v>348</v>
      </c>
      <c r="E11" s="2" t="str">
        <f t="shared" si="3"/>
        <v>XLM</v>
      </c>
      <c r="G11" s="15"/>
      <c r="H11" s="15" t="str">
        <f t="shared" si="0"/>
        <v>.</v>
      </c>
      <c r="I11" s="2" t="str">
        <f t="shared" si="1"/>
        <v/>
      </c>
      <c r="J11" s="2" t="s">
        <v>12</v>
      </c>
      <c r="K11" s="2" t="s">
        <v>635</v>
      </c>
      <c r="L11" s="2" t="str">
        <f>VLOOKUP(J11,C11:$E$248,3,FALSE)</f>
        <v>XLM</v>
      </c>
      <c r="M11" s="2" t="str">
        <f t="shared" si="2"/>
        <v>"Argentina "</v>
      </c>
      <c r="S11" s="2" t="s">
        <v>14</v>
      </c>
      <c r="T11" s="2" t="s">
        <v>860</v>
      </c>
      <c r="U11" s="2" t="str">
        <f t="shared" si="4"/>
        <v>XLM</v>
      </c>
      <c r="V11" s="2" t="str">
        <f t="shared" si="5"/>
        <v>"Aruba"</v>
      </c>
      <c r="W11" s="2" t="s">
        <v>646</v>
      </c>
    </row>
    <row r="12" spans="1:23" hidden="1">
      <c r="A12" s="15" t="s">
        <v>617</v>
      </c>
      <c r="B12" s="15" t="s">
        <v>618</v>
      </c>
      <c r="C12" s="2" t="s">
        <v>13</v>
      </c>
      <c r="D12" s="2" t="s">
        <v>349</v>
      </c>
      <c r="E12" s="2" t="str">
        <f t="shared" si="3"/>
        <v>CIS</v>
      </c>
      <c r="G12" s="15"/>
      <c r="H12" s="15" t="str">
        <f t="shared" si="0"/>
        <v>.</v>
      </c>
      <c r="I12" s="2" t="str">
        <f t="shared" si="1"/>
        <v/>
      </c>
      <c r="J12" s="2" t="s">
        <v>13</v>
      </c>
      <c r="K12" s="2" t="s">
        <v>635</v>
      </c>
      <c r="L12" s="2" t="str">
        <f>VLOOKUP(J12,C12:$E$248,3,FALSE)</f>
        <v>CIS</v>
      </c>
      <c r="M12" s="2" t="str">
        <f t="shared" si="2"/>
        <v>"Armenia "</v>
      </c>
      <c r="S12" s="2" t="s">
        <v>15</v>
      </c>
      <c r="T12" s="2" t="s">
        <v>860</v>
      </c>
      <c r="U12" s="2" t="str">
        <f t="shared" si="4"/>
        <v>XOC</v>
      </c>
      <c r="V12" s="2" t="str">
        <f t="shared" si="5"/>
        <v>"Australia"</v>
      </c>
      <c r="W12" s="2" t="s">
        <v>647</v>
      </c>
    </row>
    <row r="13" spans="1:23">
      <c r="A13" s="15" t="s">
        <v>612</v>
      </c>
      <c r="B13" s="15" t="s">
        <v>613</v>
      </c>
      <c r="C13" s="2" t="s">
        <v>6</v>
      </c>
      <c r="D13" s="2" t="s">
        <v>350</v>
      </c>
      <c r="E13" s="2" t="str">
        <f t="shared" si="3"/>
        <v>XSA</v>
      </c>
      <c r="G13" s="15"/>
      <c r="H13" s="15" t="str">
        <f t="shared" si="0"/>
        <v>.</v>
      </c>
      <c r="I13" s="2" t="str">
        <f t="shared" si="1"/>
        <v/>
      </c>
      <c r="J13" s="2" t="s">
        <v>6</v>
      </c>
      <c r="K13" s="2" t="s">
        <v>635</v>
      </c>
      <c r="L13" s="2" t="str">
        <f>VLOOKUP(J13,C13:$E$248,3,FALSE)</f>
        <v>XSA</v>
      </c>
      <c r="M13" s="2" t="str">
        <f t="shared" si="2"/>
        <v>"American Samoa "</v>
      </c>
      <c r="S13" s="2" t="s">
        <v>16</v>
      </c>
      <c r="T13" s="2" t="s">
        <v>860</v>
      </c>
      <c r="U13" s="2" t="str">
        <f t="shared" si="4"/>
        <v>XE25</v>
      </c>
      <c r="V13" s="2" t="str">
        <f t="shared" si="5"/>
        <v>"Austria"</v>
      </c>
      <c r="W13" s="2" t="s">
        <v>648</v>
      </c>
    </row>
    <row r="14" spans="1:23" hidden="1">
      <c r="A14" s="15" t="e">
        <v>#N/A</v>
      </c>
      <c r="B14" s="15" t="e">
        <v>#N/A</v>
      </c>
      <c r="C14" s="2" t="s">
        <v>10</v>
      </c>
      <c r="D14" s="2" t="s">
        <v>351</v>
      </c>
      <c r="E14" s="2" t="e">
        <f t="shared" si="3"/>
        <v>#N/A</v>
      </c>
      <c r="G14" s="15"/>
      <c r="H14" s="15" t="e">
        <f t="shared" si="0"/>
        <v>#N/A</v>
      </c>
      <c r="I14" s="2" t="e">
        <f t="shared" si="1"/>
        <v>#N/A</v>
      </c>
      <c r="J14" s="2" t="s">
        <v>10</v>
      </c>
      <c r="K14" s="2" t="s">
        <v>635</v>
      </c>
      <c r="L14" s="2" t="e">
        <f>VLOOKUP(J14,C14:$E$248,3,FALSE)</f>
        <v>#N/A</v>
      </c>
      <c r="M14" s="2" t="str">
        <f t="shared" si="2"/>
        <v>"Antarctica "</v>
      </c>
      <c r="S14" s="2" t="s">
        <v>17</v>
      </c>
      <c r="T14" s="2" t="s">
        <v>860</v>
      </c>
      <c r="U14" s="2" t="str">
        <f t="shared" si="4"/>
        <v>CIS</v>
      </c>
      <c r="V14" s="2" t="str">
        <f t="shared" si="5"/>
        <v>"Azerbaijan"</v>
      </c>
      <c r="W14" s="2" t="s">
        <v>649</v>
      </c>
    </row>
    <row r="15" spans="1:23">
      <c r="A15" s="15" t="s">
        <v>612</v>
      </c>
      <c r="B15" s="15" t="s">
        <v>613</v>
      </c>
      <c r="C15" s="2" t="s">
        <v>79</v>
      </c>
      <c r="D15" s="2" t="s">
        <v>352</v>
      </c>
      <c r="E15" s="2" t="str">
        <f t="shared" si="3"/>
        <v>XSA</v>
      </c>
      <c r="G15" s="15"/>
      <c r="H15" s="15" t="e">
        <f t="shared" si="0"/>
        <v>#N/A</v>
      </c>
      <c r="I15" s="2" t="str">
        <f t="shared" si="1"/>
        <v/>
      </c>
      <c r="J15" s="2" t="s">
        <v>79</v>
      </c>
      <c r="K15" s="2" t="s">
        <v>635</v>
      </c>
      <c r="L15" s="2" t="str">
        <f>VLOOKUP(J15,C15:$E$248,3,FALSE)</f>
        <v>XSA</v>
      </c>
      <c r="M15" s="2" t="str">
        <f t="shared" si="2"/>
        <v>"French Southern Territories "</v>
      </c>
      <c r="S15" s="2" t="s">
        <v>18</v>
      </c>
      <c r="T15" s="2" t="s">
        <v>860</v>
      </c>
      <c r="U15" s="2" t="str">
        <f t="shared" si="4"/>
        <v>XLM</v>
      </c>
      <c r="V15" s="2" t="str">
        <f t="shared" si="5"/>
        <v>"Bahamas, The"</v>
      </c>
      <c r="W15" s="2" t="s">
        <v>650</v>
      </c>
    </row>
    <row r="16" spans="1:23" hidden="1">
      <c r="A16" s="15" t="s">
        <v>615</v>
      </c>
      <c r="B16" s="15" t="s">
        <v>616</v>
      </c>
      <c r="C16" s="2" t="s">
        <v>11</v>
      </c>
      <c r="D16" s="2" t="s">
        <v>353</v>
      </c>
      <c r="E16" s="2" t="str">
        <f t="shared" si="3"/>
        <v>XLM</v>
      </c>
      <c r="G16" s="15"/>
      <c r="H16" s="15" t="str">
        <f t="shared" si="0"/>
        <v>.</v>
      </c>
      <c r="I16" s="2" t="str">
        <f t="shared" si="1"/>
        <v/>
      </c>
      <c r="J16" s="2" t="s">
        <v>11</v>
      </c>
      <c r="K16" s="2" t="s">
        <v>635</v>
      </c>
      <c r="L16" s="2" t="str">
        <f>VLOOKUP(J16,C16:$E$248,3,FALSE)</f>
        <v>XLM</v>
      </c>
      <c r="M16" s="2" t="str">
        <f t="shared" si="2"/>
        <v>"Antigua and Barbuda "</v>
      </c>
      <c r="S16" s="2" t="s">
        <v>19</v>
      </c>
      <c r="T16" s="2" t="s">
        <v>860</v>
      </c>
      <c r="U16" s="2" t="str">
        <f t="shared" si="4"/>
        <v>XME</v>
      </c>
      <c r="V16" s="2" t="str">
        <f t="shared" si="5"/>
        <v>"Bahrain"</v>
      </c>
      <c r="W16" s="2" t="s">
        <v>651</v>
      </c>
    </row>
    <row r="17" spans="1:23" hidden="1">
      <c r="A17" s="15" t="s">
        <v>606</v>
      </c>
      <c r="B17" s="15" t="s">
        <v>607</v>
      </c>
      <c r="C17" s="2" t="s">
        <v>15</v>
      </c>
      <c r="D17" s="2" t="s">
        <v>354</v>
      </c>
      <c r="E17" s="2" t="str">
        <f t="shared" si="3"/>
        <v>XOC</v>
      </c>
      <c r="G17" s="15"/>
      <c r="H17" s="15" t="str">
        <f t="shared" si="0"/>
        <v>.</v>
      </c>
      <c r="I17" s="2" t="str">
        <f t="shared" si="1"/>
        <v/>
      </c>
      <c r="J17" s="2" t="s">
        <v>15</v>
      </c>
      <c r="K17" s="2" t="s">
        <v>635</v>
      </c>
      <c r="L17" s="2" t="str">
        <f>VLOOKUP(J17,C17:$E$248,3,FALSE)</f>
        <v>XOC</v>
      </c>
      <c r="M17" s="2" t="str">
        <f t="shared" si="2"/>
        <v>"Australia "</v>
      </c>
      <c r="S17" s="2" t="s">
        <v>20</v>
      </c>
      <c r="T17" s="2" t="s">
        <v>860</v>
      </c>
      <c r="U17" s="2" t="str">
        <f t="shared" si="4"/>
        <v>XSA</v>
      </c>
      <c r="V17" s="2" t="str">
        <f t="shared" si="5"/>
        <v>"Bangladesh"</v>
      </c>
      <c r="W17" s="2" t="s">
        <v>652</v>
      </c>
    </row>
    <row r="18" spans="1:23" hidden="1">
      <c r="A18" s="15" t="s">
        <v>602</v>
      </c>
      <c r="B18" s="15" t="s">
        <v>240</v>
      </c>
      <c r="C18" s="2" t="s">
        <v>16</v>
      </c>
      <c r="D18" s="2" t="s">
        <v>355</v>
      </c>
      <c r="E18" s="2" t="str">
        <f t="shared" si="3"/>
        <v>XE25</v>
      </c>
      <c r="G18" s="15"/>
      <c r="H18" s="15" t="str">
        <f t="shared" si="0"/>
        <v>.</v>
      </c>
      <c r="I18" s="2" t="str">
        <f t="shared" si="1"/>
        <v/>
      </c>
      <c r="J18" s="2" t="s">
        <v>16</v>
      </c>
      <c r="K18" s="2" t="s">
        <v>635</v>
      </c>
      <c r="L18" s="2" t="str">
        <f>VLOOKUP(J18,C18:$E$248,3,FALSE)</f>
        <v>XE25</v>
      </c>
      <c r="M18" s="2" t="str">
        <f t="shared" si="2"/>
        <v>"Austria "</v>
      </c>
      <c r="S18" s="2" t="s">
        <v>21</v>
      </c>
      <c r="T18" s="2" t="s">
        <v>860</v>
      </c>
      <c r="U18" s="2" t="str">
        <f t="shared" si="4"/>
        <v>XLM</v>
      </c>
      <c r="V18" s="2" t="str">
        <f t="shared" si="5"/>
        <v>"Barbados"</v>
      </c>
      <c r="W18" s="2" t="s">
        <v>653</v>
      </c>
    </row>
    <row r="19" spans="1:23" hidden="1">
      <c r="A19" s="15" t="s">
        <v>617</v>
      </c>
      <c r="B19" s="15" t="s">
        <v>618</v>
      </c>
      <c r="C19" s="2" t="s">
        <v>17</v>
      </c>
      <c r="D19" s="2" t="s">
        <v>356</v>
      </c>
      <c r="E19" s="2" t="str">
        <f t="shared" si="3"/>
        <v>CIS</v>
      </c>
      <c r="G19" s="15"/>
      <c r="H19" s="15" t="str">
        <f t="shared" si="0"/>
        <v>.</v>
      </c>
      <c r="I19" s="2" t="str">
        <f t="shared" si="1"/>
        <v/>
      </c>
      <c r="J19" s="2" t="s">
        <v>17</v>
      </c>
      <c r="K19" s="2" t="s">
        <v>635</v>
      </c>
      <c r="L19" s="2" t="str">
        <f>VLOOKUP(J19,C19:$E$248,3,FALSE)</f>
        <v>CIS</v>
      </c>
      <c r="M19" s="2" t="str">
        <f t="shared" si="2"/>
        <v>"Azerbaijan "</v>
      </c>
      <c r="S19" s="2" t="s">
        <v>22</v>
      </c>
      <c r="T19" s="2" t="s">
        <v>860</v>
      </c>
      <c r="U19" s="2" t="str">
        <f t="shared" si="4"/>
        <v>CIS</v>
      </c>
      <c r="V19" s="2" t="str">
        <f t="shared" si="5"/>
        <v>"Belarus"</v>
      </c>
      <c r="W19" s="2" t="s">
        <v>654</v>
      </c>
    </row>
    <row r="20" spans="1:23" hidden="1">
      <c r="A20" s="15" t="s">
        <v>623</v>
      </c>
      <c r="B20" s="15" t="s">
        <v>624</v>
      </c>
      <c r="C20" s="2" t="s">
        <v>37</v>
      </c>
      <c r="D20" s="2" t="s">
        <v>357</v>
      </c>
      <c r="E20" s="2" t="str">
        <f t="shared" si="3"/>
        <v>XAF</v>
      </c>
      <c r="G20" s="15"/>
      <c r="H20" s="15" t="str">
        <f t="shared" si="0"/>
        <v>.</v>
      </c>
      <c r="I20" s="2" t="str">
        <f t="shared" si="1"/>
        <v/>
      </c>
      <c r="J20" s="2" t="s">
        <v>37</v>
      </c>
      <c r="K20" s="2" t="s">
        <v>635</v>
      </c>
      <c r="L20" s="2" t="str">
        <f>VLOOKUP(J20,C20:$E$248,3,FALSE)</f>
        <v>XAF</v>
      </c>
      <c r="M20" s="2" t="str">
        <f t="shared" si="2"/>
        <v>"Burundi "</v>
      </c>
      <c r="S20" s="2" t="s">
        <v>23</v>
      </c>
      <c r="T20" s="2" t="s">
        <v>860</v>
      </c>
      <c r="U20" s="2" t="str">
        <f t="shared" si="4"/>
        <v>XE25</v>
      </c>
      <c r="V20" s="2" t="str">
        <f t="shared" si="5"/>
        <v>"Belgium"</v>
      </c>
      <c r="W20" s="2" t="s">
        <v>655</v>
      </c>
    </row>
    <row r="21" spans="1:23" hidden="1">
      <c r="A21" s="15" t="s">
        <v>602</v>
      </c>
      <c r="B21" s="15" t="s">
        <v>240</v>
      </c>
      <c r="C21" s="2" t="s">
        <v>23</v>
      </c>
      <c r="D21" s="2" t="s">
        <v>358</v>
      </c>
      <c r="E21" s="2" t="str">
        <f t="shared" si="3"/>
        <v>XE25</v>
      </c>
      <c r="G21" s="15"/>
      <c r="H21" s="15" t="str">
        <f t="shared" si="0"/>
        <v>.</v>
      </c>
      <c r="I21" s="2" t="str">
        <f t="shared" si="1"/>
        <v/>
      </c>
      <c r="J21" s="2" t="s">
        <v>23</v>
      </c>
      <c r="K21" s="2" t="s">
        <v>635</v>
      </c>
      <c r="L21" s="2" t="str">
        <f>VLOOKUP(J21,C21:$E$248,3,FALSE)</f>
        <v>XE25</v>
      </c>
      <c r="M21" s="2" t="str">
        <f t="shared" si="2"/>
        <v>"Belgium "</v>
      </c>
      <c r="S21" s="2" t="s">
        <v>24</v>
      </c>
      <c r="T21" s="2" t="s">
        <v>860</v>
      </c>
      <c r="U21" s="2" t="str">
        <f t="shared" si="4"/>
        <v>XLM</v>
      </c>
      <c r="V21" s="2" t="str">
        <f t="shared" si="5"/>
        <v>"Belize"</v>
      </c>
      <c r="W21" s="2" t="s">
        <v>656</v>
      </c>
    </row>
    <row r="22" spans="1:23" hidden="1">
      <c r="A22" s="15" t="s">
        <v>623</v>
      </c>
      <c r="B22" s="15" t="s">
        <v>624</v>
      </c>
      <c r="C22" s="2" t="s">
        <v>25</v>
      </c>
      <c r="D22" s="2" t="s">
        <v>359</v>
      </c>
      <c r="E22" s="2" t="str">
        <f t="shared" si="3"/>
        <v>XAF</v>
      </c>
      <c r="G22" s="15"/>
      <c r="H22" s="15" t="str">
        <f t="shared" si="0"/>
        <v>.</v>
      </c>
      <c r="I22" s="2" t="str">
        <f t="shared" si="1"/>
        <v/>
      </c>
      <c r="J22" s="2" t="s">
        <v>25</v>
      </c>
      <c r="K22" s="2" t="s">
        <v>635</v>
      </c>
      <c r="L22" s="2" t="str">
        <f>VLOOKUP(J22,C22:$E$248,3,FALSE)</f>
        <v>XAF</v>
      </c>
      <c r="M22" s="2" t="str">
        <f t="shared" si="2"/>
        <v>"Benin "</v>
      </c>
      <c r="S22" s="2" t="s">
        <v>25</v>
      </c>
      <c r="T22" s="2" t="s">
        <v>860</v>
      </c>
      <c r="U22" s="2" t="str">
        <f t="shared" si="4"/>
        <v>XAF</v>
      </c>
      <c r="V22" s="2" t="str">
        <f t="shared" si="5"/>
        <v>"Benin"</v>
      </c>
      <c r="W22" s="2" t="s">
        <v>657</v>
      </c>
    </row>
    <row r="23" spans="1:23" hidden="1">
      <c r="A23" s="15" t="s">
        <v>623</v>
      </c>
      <c r="B23" s="15" t="s">
        <v>624</v>
      </c>
      <c r="C23" s="2" t="s">
        <v>36</v>
      </c>
      <c r="D23" s="2" t="s">
        <v>360</v>
      </c>
      <c r="E23" s="2" t="str">
        <f t="shared" si="3"/>
        <v>XAF</v>
      </c>
      <c r="G23" s="15"/>
      <c r="H23" s="15" t="str">
        <f t="shared" si="0"/>
        <v>.</v>
      </c>
      <c r="I23" s="2" t="str">
        <f t="shared" si="1"/>
        <v/>
      </c>
      <c r="J23" s="2" t="s">
        <v>36</v>
      </c>
      <c r="K23" s="2" t="s">
        <v>635</v>
      </c>
      <c r="L23" s="2" t="str">
        <f>VLOOKUP(J23,C23:$E$248,3,FALSE)</f>
        <v>XAF</v>
      </c>
      <c r="M23" s="2" t="str">
        <f t="shared" si="2"/>
        <v>"Burkina Faso "</v>
      </c>
      <c r="S23" s="2" t="s">
        <v>26</v>
      </c>
      <c r="T23" s="2" t="s">
        <v>860</v>
      </c>
      <c r="U23" s="2" t="str">
        <f t="shared" si="4"/>
        <v>XLM</v>
      </c>
      <c r="V23" s="2" t="str">
        <f t="shared" si="5"/>
        <v>"Bermuda"</v>
      </c>
      <c r="W23" s="2" t="s">
        <v>658</v>
      </c>
    </row>
    <row r="24" spans="1:23">
      <c r="A24" s="15" t="s">
        <v>612</v>
      </c>
      <c r="B24" s="15" t="s">
        <v>613</v>
      </c>
      <c r="C24" s="2" t="s">
        <v>20</v>
      </c>
      <c r="D24" s="2" t="s">
        <v>361</v>
      </c>
      <c r="E24" s="2" t="str">
        <f t="shared" si="3"/>
        <v>XSA</v>
      </c>
      <c r="G24" s="15"/>
      <c r="H24" s="15" t="str">
        <f t="shared" si="0"/>
        <v>.</v>
      </c>
      <c r="I24" s="2" t="str">
        <f t="shared" si="1"/>
        <v/>
      </c>
      <c r="J24" s="2" t="s">
        <v>20</v>
      </c>
      <c r="K24" s="2" t="s">
        <v>635</v>
      </c>
      <c r="L24" s="2" t="str">
        <f>VLOOKUP(J24,C24:$E$248,3,FALSE)</f>
        <v>XSA</v>
      </c>
      <c r="M24" s="2" t="str">
        <f t="shared" si="2"/>
        <v>"Bangladesh "</v>
      </c>
      <c r="S24" s="2" t="s">
        <v>27</v>
      </c>
      <c r="T24" s="2" t="s">
        <v>860</v>
      </c>
      <c r="U24" s="2" t="str">
        <f t="shared" si="4"/>
        <v>XSA</v>
      </c>
      <c r="V24" s="2" t="str">
        <f t="shared" si="5"/>
        <v>"Bhutan"</v>
      </c>
      <c r="W24" s="2" t="s">
        <v>659</v>
      </c>
    </row>
    <row r="25" spans="1:23" hidden="1">
      <c r="A25" s="15" t="s">
        <v>603</v>
      </c>
      <c r="B25" s="15" t="s">
        <v>604</v>
      </c>
      <c r="C25" s="2" t="s">
        <v>35</v>
      </c>
      <c r="D25" s="2" t="s">
        <v>362</v>
      </c>
      <c r="E25" s="2" t="str">
        <f t="shared" si="3"/>
        <v>XER</v>
      </c>
      <c r="G25" s="15"/>
      <c r="H25" s="15" t="str">
        <f t="shared" si="0"/>
        <v>.</v>
      </c>
      <c r="I25" s="2" t="str">
        <f t="shared" si="1"/>
        <v/>
      </c>
      <c r="J25" s="2" t="s">
        <v>35</v>
      </c>
      <c r="K25" s="2" t="s">
        <v>635</v>
      </c>
      <c r="L25" s="2" t="str">
        <f>VLOOKUP(J25,C25:$E$248,3,FALSE)</f>
        <v>XER</v>
      </c>
      <c r="M25" s="2" t="str">
        <f t="shared" si="2"/>
        <v>"Bulgaria "</v>
      </c>
      <c r="S25" s="2" t="s">
        <v>28</v>
      </c>
      <c r="T25" s="2" t="s">
        <v>860</v>
      </c>
      <c r="U25" s="2" t="str">
        <f t="shared" si="4"/>
        <v>XLM</v>
      </c>
      <c r="V25" s="2" t="str">
        <f t="shared" si="5"/>
        <v>"Bolivia"</v>
      </c>
      <c r="W25" s="2" t="s">
        <v>660</v>
      </c>
    </row>
    <row r="26" spans="1:23" hidden="1">
      <c r="A26" s="15" t="s">
        <v>619</v>
      </c>
      <c r="B26" s="15" t="s">
        <v>620</v>
      </c>
      <c r="C26" s="2" t="s">
        <v>19</v>
      </c>
      <c r="D26" s="2" t="s">
        <v>363</v>
      </c>
      <c r="E26" s="2" t="str">
        <f t="shared" si="3"/>
        <v>XME</v>
      </c>
      <c r="G26" s="15"/>
      <c r="H26" s="15" t="str">
        <f t="shared" si="0"/>
        <v>.</v>
      </c>
      <c r="I26" s="2" t="str">
        <f t="shared" si="1"/>
        <v/>
      </c>
      <c r="J26" s="2" t="s">
        <v>19</v>
      </c>
      <c r="K26" s="2" t="s">
        <v>635</v>
      </c>
      <c r="L26" s="2" t="str">
        <f>VLOOKUP(J26,C26:$E$248,3,FALSE)</f>
        <v>XME</v>
      </c>
      <c r="M26" s="2" t="str">
        <f t="shared" si="2"/>
        <v>"Bahrain "</v>
      </c>
      <c r="S26" s="2" t="s">
        <v>29</v>
      </c>
      <c r="T26" s="2" t="s">
        <v>860</v>
      </c>
      <c r="U26" s="2" t="str">
        <f t="shared" si="4"/>
        <v>XER</v>
      </c>
      <c r="V26" s="2" t="str">
        <f t="shared" si="5"/>
        <v>"Bosnia and Herzegovina"</v>
      </c>
      <c r="W26" s="2" t="s">
        <v>661</v>
      </c>
    </row>
    <row r="27" spans="1:23" hidden="1">
      <c r="A27" s="15" t="s">
        <v>615</v>
      </c>
      <c r="B27" s="15" t="s">
        <v>616</v>
      </c>
      <c r="C27" s="2" t="s">
        <v>18</v>
      </c>
      <c r="D27" s="2" t="s">
        <v>364</v>
      </c>
      <c r="E27" s="2" t="str">
        <f t="shared" si="3"/>
        <v>XLM</v>
      </c>
      <c r="G27" s="15"/>
      <c r="H27" s="15" t="str">
        <f t="shared" si="0"/>
        <v>.</v>
      </c>
      <c r="I27" s="2" t="str">
        <f t="shared" si="1"/>
        <v/>
      </c>
      <c r="J27" s="2" t="s">
        <v>18</v>
      </c>
      <c r="K27" s="2" t="s">
        <v>635</v>
      </c>
      <c r="L27" s="2" t="str">
        <f>VLOOKUP(J27,C27:$E$248,3,FALSE)</f>
        <v>XLM</v>
      </c>
      <c r="M27" s="2" t="str">
        <f t="shared" si="2"/>
        <v>"Bahamas "</v>
      </c>
      <c r="S27" s="2" t="s">
        <v>30</v>
      </c>
      <c r="T27" s="2" t="s">
        <v>860</v>
      </c>
      <c r="U27" s="2" t="str">
        <f t="shared" si="4"/>
        <v>XAF</v>
      </c>
      <c r="V27" s="2" t="str">
        <f t="shared" si="5"/>
        <v>"Botswana"</v>
      </c>
      <c r="W27" s="2" t="s">
        <v>662</v>
      </c>
    </row>
    <row r="28" spans="1:23" hidden="1">
      <c r="A28" s="15" t="s">
        <v>603</v>
      </c>
      <c r="B28" s="15" t="s">
        <v>604</v>
      </c>
      <c r="C28" s="2" t="s">
        <v>29</v>
      </c>
      <c r="D28" s="2" t="s">
        <v>365</v>
      </c>
      <c r="E28" s="2" t="str">
        <f t="shared" si="3"/>
        <v>XER</v>
      </c>
      <c r="G28" s="15"/>
      <c r="H28" s="15" t="str">
        <f t="shared" si="0"/>
        <v>.</v>
      </c>
      <c r="I28" s="2" t="str">
        <f t="shared" si="1"/>
        <v/>
      </c>
      <c r="J28" s="2" t="s">
        <v>29</v>
      </c>
      <c r="K28" s="2" t="s">
        <v>635</v>
      </c>
      <c r="L28" s="2" t="str">
        <f>VLOOKUP(J28,C28:$E$248,3,FALSE)</f>
        <v>XER</v>
      </c>
      <c r="M28" s="2" t="str">
        <f t="shared" si="2"/>
        <v>"Bosnia and Herzegovina "</v>
      </c>
      <c r="S28" s="2" t="s">
        <v>32</v>
      </c>
      <c r="T28" s="2" t="s">
        <v>860</v>
      </c>
      <c r="U28" s="2" t="str">
        <f t="shared" si="4"/>
        <v>BRA</v>
      </c>
      <c r="V28" s="2" t="str">
        <f t="shared" si="5"/>
        <v>"Brazil"</v>
      </c>
      <c r="W28" s="2" t="s">
        <v>614</v>
      </c>
    </row>
    <row r="29" spans="1:23" hidden="1">
      <c r="A29" s="15" t="e">
        <v>#N/A</v>
      </c>
      <c r="B29" s="15" t="e">
        <v>#N/A</v>
      </c>
      <c r="C29" s="2" t="s">
        <v>366</v>
      </c>
      <c r="D29" s="2" t="s">
        <v>367</v>
      </c>
      <c r="E29" s="2" t="e">
        <f t="shared" si="3"/>
        <v>#N/A</v>
      </c>
      <c r="G29" s="15"/>
      <c r="H29" s="15" t="e">
        <f t="shared" si="0"/>
        <v>#N/A</v>
      </c>
      <c r="I29" s="2" t="e">
        <f t="shared" si="1"/>
        <v>#N/A</v>
      </c>
      <c r="J29" s="2" t="s">
        <v>366</v>
      </c>
      <c r="K29" s="2" t="s">
        <v>635</v>
      </c>
      <c r="L29" s="2" t="e">
        <f>VLOOKUP(J29,C29:$E$248,3,FALSE)</f>
        <v>#N/A</v>
      </c>
      <c r="M29" s="2" t="str">
        <f t="shared" si="2"/>
        <v>"Saint Barthélemy "</v>
      </c>
      <c r="S29" s="2" t="s">
        <v>233</v>
      </c>
      <c r="T29" s="2" t="s">
        <v>860</v>
      </c>
      <c r="U29" s="2" t="str">
        <f t="shared" si="4"/>
        <v>XLM</v>
      </c>
      <c r="V29" s="2" t="str">
        <f t="shared" si="5"/>
        <v>"British Virgin Islands"</v>
      </c>
      <c r="W29" s="2" t="s">
        <v>663</v>
      </c>
    </row>
    <row r="30" spans="1:23" hidden="1">
      <c r="A30" s="15" t="s">
        <v>617</v>
      </c>
      <c r="B30" s="15" t="s">
        <v>618</v>
      </c>
      <c r="C30" s="2" t="s">
        <v>22</v>
      </c>
      <c r="D30" s="2" t="s">
        <v>368</v>
      </c>
      <c r="E30" s="2" t="str">
        <f t="shared" si="3"/>
        <v>CIS</v>
      </c>
      <c r="G30" s="15"/>
      <c r="H30" s="15" t="str">
        <f t="shared" si="0"/>
        <v>.</v>
      </c>
      <c r="I30" s="2" t="str">
        <f t="shared" si="1"/>
        <v/>
      </c>
      <c r="J30" s="2" t="s">
        <v>22</v>
      </c>
      <c r="K30" s="2" t="s">
        <v>635</v>
      </c>
      <c r="L30" s="2" t="str">
        <f>VLOOKUP(J30,C30:$E$248,3,FALSE)</f>
        <v>CIS</v>
      </c>
      <c r="M30" s="2" t="str">
        <f t="shared" si="2"/>
        <v>"Belarus "</v>
      </c>
      <c r="S30" s="2" t="s">
        <v>34</v>
      </c>
      <c r="T30" s="2" t="s">
        <v>860</v>
      </c>
      <c r="U30" s="2" t="str">
        <f t="shared" si="4"/>
        <v>XSA</v>
      </c>
      <c r="V30" s="2" t="str">
        <f t="shared" si="5"/>
        <v>"Brunei Darussalam"</v>
      </c>
      <c r="W30" s="2" t="s">
        <v>664</v>
      </c>
    </row>
    <row r="31" spans="1:23" hidden="1">
      <c r="A31" s="15" t="s">
        <v>615</v>
      </c>
      <c r="B31" s="15" t="s">
        <v>616</v>
      </c>
      <c r="C31" s="2" t="s">
        <v>24</v>
      </c>
      <c r="D31" s="2" t="s">
        <v>369</v>
      </c>
      <c r="E31" s="2" t="str">
        <f t="shared" si="3"/>
        <v>XLM</v>
      </c>
      <c r="G31" s="15"/>
      <c r="H31" s="15" t="str">
        <f t="shared" si="0"/>
        <v>.</v>
      </c>
      <c r="I31" s="2" t="str">
        <f t="shared" si="1"/>
        <v/>
      </c>
      <c r="J31" s="2" t="s">
        <v>24</v>
      </c>
      <c r="K31" s="2" t="s">
        <v>635</v>
      </c>
      <c r="L31" s="2" t="str">
        <f>VLOOKUP(J31,C31:$E$248,3,FALSE)</f>
        <v>XLM</v>
      </c>
      <c r="M31" s="2" t="str">
        <f t="shared" si="2"/>
        <v>"Belize "</v>
      </c>
      <c r="S31" s="2" t="s">
        <v>35</v>
      </c>
      <c r="T31" s="2" t="s">
        <v>860</v>
      </c>
      <c r="U31" s="2" t="str">
        <f t="shared" si="4"/>
        <v>XER</v>
      </c>
      <c r="V31" s="2" t="str">
        <f t="shared" si="5"/>
        <v>"Bulgaria"</v>
      </c>
      <c r="W31" s="2" t="s">
        <v>665</v>
      </c>
    </row>
    <row r="32" spans="1:23" hidden="1">
      <c r="A32" s="15" t="s">
        <v>615</v>
      </c>
      <c r="B32" s="15" t="s">
        <v>616</v>
      </c>
      <c r="C32" s="2" t="s">
        <v>26</v>
      </c>
      <c r="D32" s="2" t="s">
        <v>370</v>
      </c>
      <c r="E32" s="2" t="str">
        <f t="shared" si="3"/>
        <v>XLM</v>
      </c>
      <c r="G32" s="15"/>
      <c r="H32" s="15" t="str">
        <f t="shared" si="0"/>
        <v>.</v>
      </c>
      <c r="I32" s="2" t="str">
        <f t="shared" si="1"/>
        <v/>
      </c>
      <c r="J32" s="2" t="s">
        <v>26</v>
      </c>
      <c r="K32" s="2" t="s">
        <v>635</v>
      </c>
      <c r="L32" s="2" t="str">
        <f>VLOOKUP(J32,C32:$E$248,3,FALSE)</f>
        <v>XLM</v>
      </c>
      <c r="M32" s="2" t="str">
        <f t="shared" si="2"/>
        <v>"Bermuda "</v>
      </c>
      <c r="S32" s="2" t="s">
        <v>36</v>
      </c>
      <c r="T32" s="2" t="s">
        <v>860</v>
      </c>
      <c r="U32" s="2" t="str">
        <f t="shared" si="4"/>
        <v>XAF</v>
      </c>
      <c r="V32" s="2" t="str">
        <f t="shared" si="5"/>
        <v>"Burkina Faso"</v>
      </c>
      <c r="W32" s="2" t="s">
        <v>666</v>
      </c>
    </row>
    <row r="33" spans="1:23" hidden="1">
      <c r="A33" s="15" t="s">
        <v>615</v>
      </c>
      <c r="B33" s="15" t="s">
        <v>616</v>
      </c>
      <c r="C33" s="2" t="s">
        <v>28</v>
      </c>
      <c r="D33" s="2" t="s">
        <v>371</v>
      </c>
      <c r="E33" s="2" t="str">
        <f t="shared" si="3"/>
        <v>XLM</v>
      </c>
      <c r="G33" s="15"/>
      <c r="H33" s="15" t="str">
        <f t="shared" si="0"/>
        <v>.</v>
      </c>
      <c r="I33" s="2" t="str">
        <f t="shared" si="1"/>
        <v/>
      </c>
      <c r="J33" s="2" t="s">
        <v>28</v>
      </c>
      <c r="K33" s="2" t="s">
        <v>635</v>
      </c>
      <c r="L33" s="2" t="str">
        <f>VLOOKUP(J33,C33:$E$248,3,FALSE)</f>
        <v>XLM</v>
      </c>
      <c r="M33" s="2" t="str">
        <f t="shared" si="2"/>
        <v>"Bolivia, Plurinational State of "</v>
      </c>
      <c r="S33" s="2" t="s">
        <v>37</v>
      </c>
      <c r="T33" s="2" t="s">
        <v>860</v>
      </c>
      <c r="U33" s="2" t="str">
        <f t="shared" si="4"/>
        <v>XAF</v>
      </c>
      <c r="V33" s="2" t="str">
        <f t="shared" si="5"/>
        <v>"Burundi"</v>
      </c>
      <c r="W33" s="2" t="s">
        <v>667</v>
      </c>
    </row>
    <row r="34" spans="1:23" hidden="1">
      <c r="A34" s="15" t="s">
        <v>32</v>
      </c>
      <c r="B34" s="15" t="s">
        <v>614</v>
      </c>
      <c r="C34" s="2" t="s">
        <v>32</v>
      </c>
      <c r="D34" s="2" t="s">
        <v>372</v>
      </c>
      <c r="E34" s="2" t="str">
        <f t="shared" si="3"/>
        <v>BRA</v>
      </c>
      <c r="G34" s="15"/>
      <c r="H34" s="15" t="str">
        <f t="shared" si="0"/>
        <v>.</v>
      </c>
      <c r="I34" s="2" t="str">
        <f t="shared" ref="I34:I65" si="6">IF(L34="#N/A","*","")</f>
        <v/>
      </c>
      <c r="J34" s="2" t="s">
        <v>32</v>
      </c>
      <c r="K34" s="2" t="s">
        <v>635</v>
      </c>
      <c r="L34" s="2" t="str">
        <f>VLOOKUP(J34,C34:$E$248,3,FALSE)</f>
        <v>BRA</v>
      </c>
      <c r="M34" s="2" t="str">
        <f t="shared" si="2"/>
        <v>"Brazil "</v>
      </c>
      <c r="S34" s="2" t="s">
        <v>41</v>
      </c>
      <c r="T34" s="2" t="s">
        <v>860</v>
      </c>
      <c r="U34" s="2" t="str">
        <f t="shared" si="4"/>
        <v>XAF</v>
      </c>
      <c r="V34" s="2" t="str">
        <f t="shared" si="5"/>
        <v>"Cabo Verde"</v>
      </c>
      <c r="W34" s="2" t="s">
        <v>668</v>
      </c>
    </row>
    <row r="35" spans="1:23" hidden="1">
      <c r="A35" s="15" t="s">
        <v>615</v>
      </c>
      <c r="B35" s="15" t="s">
        <v>616</v>
      </c>
      <c r="C35" s="2" t="s">
        <v>21</v>
      </c>
      <c r="D35" s="2" t="s">
        <v>373</v>
      </c>
      <c r="E35" s="2" t="str">
        <f t="shared" si="3"/>
        <v>XLM</v>
      </c>
      <c r="G35" s="15"/>
      <c r="H35" s="15" t="str">
        <f t="shared" si="0"/>
        <v>.</v>
      </c>
      <c r="I35" s="2" t="str">
        <f t="shared" si="6"/>
        <v/>
      </c>
      <c r="J35" s="2" t="s">
        <v>21</v>
      </c>
      <c r="K35" s="2" t="s">
        <v>635</v>
      </c>
      <c r="L35" s="2" t="str">
        <f>VLOOKUP(J35,C35:$E$248,3,FALSE)</f>
        <v>XLM</v>
      </c>
      <c r="M35" s="2" t="str">
        <f t="shared" si="2"/>
        <v>"Barbados "</v>
      </c>
      <c r="S35" s="2" t="s">
        <v>38</v>
      </c>
      <c r="T35" s="2" t="s">
        <v>860</v>
      </c>
      <c r="U35" s="2" t="str">
        <f t="shared" si="4"/>
        <v>XSE</v>
      </c>
      <c r="V35" s="2" t="str">
        <f t="shared" si="5"/>
        <v>"Cambodia"</v>
      </c>
      <c r="W35" s="2" t="s">
        <v>669</v>
      </c>
    </row>
    <row r="36" spans="1:23">
      <c r="A36" s="15" t="s">
        <v>612</v>
      </c>
      <c r="B36" s="15" t="s">
        <v>613</v>
      </c>
      <c r="C36" s="2" t="s">
        <v>34</v>
      </c>
      <c r="D36" s="2" t="s">
        <v>374</v>
      </c>
      <c r="E36" s="2" t="str">
        <f t="shared" si="3"/>
        <v>XSA</v>
      </c>
      <c r="G36" s="15"/>
      <c r="H36" s="15" t="str">
        <f t="shared" si="0"/>
        <v>.</v>
      </c>
      <c r="I36" s="2" t="str">
        <f t="shared" si="6"/>
        <v/>
      </c>
      <c r="J36" s="2" t="s">
        <v>34</v>
      </c>
      <c r="K36" s="2" t="s">
        <v>635</v>
      </c>
      <c r="L36" s="2" t="str">
        <f>VLOOKUP(J36,C36:$E$248,3,FALSE)</f>
        <v>XSA</v>
      </c>
      <c r="M36" s="2" t="str">
        <f t="shared" si="2"/>
        <v>"Brunei Darussalam "</v>
      </c>
      <c r="S36" s="2" t="s">
        <v>39</v>
      </c>
      <c r="T36" s="2" t="s">
        <v>860</v>
      </c>
      <c r="U36" s="2" t="str">
        <f t="shared" si="4"/>
        <v>XAF</v>
      </c>
      <c r="V36" s="2" t="str">
        <f t="shared" si="5"/>
        <v>"Cameroon"</v>
      </c>
      <c r="W36" s="2" t="s">
        <v>670</v>
      </c>
    </row>
    <row r="37" spans="1:23">
      <c r="A37" s="15" t="s">
        <v>612</v>
      </c>
      <c r="B37" s="15" t="s">
        <v>613</v>
      </c>
      <c r="C37" s="2" t="s">
        <v>27</v>
      </c>
      <c r="D37" s="2" t="s">
        <v>375</v>
      </c>
      <c r="E37" s="2" t="str">
        <f t="shared" si="3"/>
        <v>XSA</v>
      </c>
      <c r="G37" s="15"/>
      <c r="H37" s="15" t="str">
        <f t="shared" si="0"/>
        <v>.</v>
      </c>
      <c r="I37" s="2" t="str">
        <f t="shared" si="6"/>
        <v/>
      </c>
      <c r="J37" s="2" t="s">
        <v>27</v>
      </c>
      <c r="K37" s="2" t="s">
        <v>635</v>
      </c>
      <c r="L37" s="2" t="str">
        <f>VLOOKUP(J37,C37:$E$248,3,FALSE)</f>
        <v>XSA</v>
      </c>
      <c r="M37" s="2" t="str">
        <f t="shared" si="2"/>
        <v>"Bhutan "</v>
      </c>
      <c r="S37" s="2" t="s">
        <v>40</v>
      </c>
      <c r="T37" s="2" t="s">
        <v>860</v>
      </c>
      <c r="U37" s="2" t="str">
        <f t="shared" si="4"/>
        <v>CAN</v>
      </c>
      <c r="V37" s="2" t="str">
        <f t="shared" si="5"/>
        <v>"Canada"</v>
      </c>
      <c r="W37" s="2" t="s">
        <v>291</v>
      </c>
    </row>
    <row r="38" spans="1:23" hidden="1">
      <c r="A38" s="15" t="s">
        <v>615</v>
      </c>
      <c r="B38" s="15" t="s">
        <v>616</v>
      </c>
      <c r="C38" s="2" t="s">
        <v>31</v>
      </c>
      <c r="D38" s="2" t="s">
        <v>376</v>
      </c>
      <c r="E38" s="2" t="str">
        <f t="shared" si="3"/>
        <v>XLM</v>
      </c>
      <c r="G38" s="15"/>
      <c r="H38" s="15" t="e">
        <f t="shared" si="0"/>
        <v>#N/A</v>
      </c>
      <c r="I38" s="2" t="str">
        <f t="shared" si="6"/>
        <v/>
      </c>
      <c r="J38" s="2" t="s">
        <v>31</v>
      </c>
      <c r="K38" s="2" t="s">
        <v>635</v>
      </c>
      <c r="L38" s="2" t="str">
        <f>VLOOKUP(J38,C38:$E$248,3,FALSE)</f>
        <v>XLM</v>
      </c>
      <c r="M38" s="2" t="str">
        <f t="shared" si="2"/>
        <v>"Bouvet Island "</v>
      </c>
      <c r="S38" s="2" t="s">
        <v>42</v>
      </c>
      <c r="T38" s="2" t="s">
        <v>860</v>
      </c>
      <c r="U38" s="2" t="str">
        <f t="shared" si="4"/>
        <v>XLM</v>
      </c>
      <c r="V38" s="2" t="str">
        <f t="shared" si="5"/>
        <v>"Cayman Islands"</v>
      </c>
      <c r="W38" s="2" t="s">
        <v>671</v>
      </c>
    </row>
    <row r="39" spans="1:23" hidden="1">
      <c r="A39" s="15" t="s">
        <v>623</v>
      </c>
      <c r="B39" s="15" t="s">
        <v>624</v>
      </c>
      <c r="C39" s="2" t="s">
        <v>30</v>
      </c>
      <c r="D39" s="2" t="s">
        <v>377</v>
      </c>
      <c r="E39" s="2" t="str">
        <f t="shared" si="3"/>
        <v>XAF</v>
      </c>
      <c r="G39" s="15"/>
      <c r="H39" s="15" t="str">
        <f t="shared" si="0"/>
        <v>.</v>
      </c>
      <c r="I39" s="2" t="str">
        <f t="shared" si="6"/>
        <v/>
      </c>
      <c r="J39" s="2" t="s">
        <v>30</v>
      </c>
      <c r="K39" s="2" t="s">
        <v>635</v>
      </c>
      <c r="L39" s="2" t="str">
        <f>VLOOKUP(J39,C39:$E$248,3,FALSE)</f>
        <v>XAF</v>
      </c>
      <c r="M39" s="2" t="str">
        <f t="shared" si="2"/>
        <v>"Botswana "</v>
      </c>
      <c r="S39" s="2" t="s">
        <v>43</v>
      </c>
      <c r="T39" s="2" t="s">
        <v>860</v>
      </c>
      <c r="U39" s="2" t="str">
        <f t="shared" si="4"/>
        <v>XAF</v>
      </c>
      <c r="V39" s="2" t="str">
        <f t="shared" si="5"/>
        <v>"Central African Republic"</v>
      </c>
      <c r="W39" s="2" t="s">
        <v>672</v>
      </c>
    </row>
    <row r="40" spans="1:23" hidden="1">
      <c r="A40" s="15" t="s">
        <v>623</v>
      </c>
      <c r="B40" s="15" t="s">
        <v>624</v>
      </c>
      <c r="C40" s="2" t="s">
        <v>43</v>
      </c>
      <c r="D40" s="2" t="s">
        <v>378</v>
      </c>
      <c r="E40" s="2" t="str">
        <f t="shared" si="3"/>
        <v>XAF</v>
      </c>
      <c r="G40" s="15"/>
      <c r="H40" s="15" t="str">
        <f t="shared" si="0"/>
        <v>.</v>
      </c>
      <c r="I40" s="2" t="str">
        <f t="shared" si="6"/>
        <v/>
      </c>
      <c r="J40" s="2" t="s">
        <v>43</v>
      </c>
      <c r="K40" s="2" t="s">
        <v>635</v>
      </c>
      <c r="L40" s="2" t="str">
        <f>VLOOKUP(J40,C40:$E$248,3,FALSE)</f>
        <v>XAF</v>
      </c>
      <c r="M40" s="2" t="str">
        <f t="shared" si="2"/>
        <v>"Central African Republic "</v>
      </c>
      <c r="S40" s="2" t="s">
        <v>44</v>
      </c>
      <c r="T40" s="2" t="s">
        <v>860</v>
      </c>
      <c r="U40" s="2" t="str">
        <f t="shared" si="4"/>
        <v>XAF</v>
      </c>
      <c r="V40" s="2" t="str">
        <f t="shared" si="5"/>
        <v>"Chad"</v>
      </c>
      <c r="W40" s="2" t="s">
        <v>673</v>
      </c>
    </row>
    <row r="41" spans="1:23" hidden="1">
      <c r="A41" s="15" t="s">
        <v>40</v>
      </c>
      <c r="B41" s="15" t="s">
        <v>291</v>
      </c>
      <c r="C41" s="2" t="s">
        <v>40</v>
      </c>
      <c r="D41" s="2" t="s">
        <v>379</v>
      </c>
      <c r="E41" s="2" t="str">
        <f t="shared" si="3"/>
        <v>CAN</v>
      </c>
      <c r="G41" s="15"/>
      <c r="H41" s="15" t="str">
        <f t="shared" si="0"/>
        <v>.</v>
      </c>
      <c r="I41" s="2" t="str">
        <f t="shared" si="6"/>
        <v/>
      </c>
      <c r="J41" s="2" t="s">
        <v>40</v>
      </c>
      <c r="K41" s="2" t="s">
        <v>635</v>
      </c>
      <c r="L41" s="2" t="str">
        <f>VLOOKUP(J41,C41:$E$248,3,FALSE)</f>
        <v>CAN</v>
      </c>
      <c r="M41" s="2" t="str">
        <f t="shared" si="2"/>
        <v>"Canada "</v>
      </c>
      <c r="S41" s="2" t="s">
        <v>674</v>
      </c>
      <c r="T41" s="2" t="s">
        <v>860</v>
      </c>
      <c r="U41" s="2" t="s">
        <v>861</v>
      </c>
      <c r="V41" s="2" t="str">
        <f t="shared" si="5"/>
        <v>"Channel Islands"</v>
      </c>
      <c r="W41" s="2" t="s">
        <v>675</v>
      </c>
    </row>
    <row r="42" spans="1:23">
      <c r="A42" s="15" t="s">
        <v>612</v>
      </c>
      <c r="B42" s="15" t="s">
        <v>613</v>
      </c>
      <c r="C42" s="2" t="s">
        <v>48</v>
      </c>
      <c r="D42" s="2" t="s">
        <v>380</v>
      </c>
      <c r="E42" s="2" t="str">
        <f t="shared" si="3"/>
        <v>XSA</v>
      </c>
      <c r="G42" s="15"/>
      <c r="H42" s="15" t="e">
        <f t="shared" si="0"/>
        <v>#N/A</v>
      </c>
      <c r="I42" s="2" t="str">
        <f t="shared" si="6"/>
        <v/>
      </c>
      <c r="J42" s="2" t="s">
        <v>48</v>
      </c>
      <c r="K42" s="2" t="s">
        <v>635</v>
      </c>
      <c r="L42" s="2" t="str">
        <f>VLOOKUP(J42,C42:$E$248,3,FALSE)</f>
        <v>XSA</v>
      </c>
      <c r="M42" s="2" t="str">
        <f t="shared" si="2"/>
        <v>"Cocos (Keeling) Islands "</v>
      </c>
      <c r="S42" s="2" t="s">
        <v>45</v>
      </c>
      <c r="T42" s="2" t="s">
        <v>860</v>
      </c>
      <c r="U42" s="2" t="str">
        <f t="shared" si="4"/>
        <v>XLM</v>
      </c>
      <c r="V42" s="2" t="str">
        <f t="shared" si="5"/>
        <v>"Chile"</v>
      </c>
      <c r="W42" s="2" t="s">
        <v>676</v>
      </c>
    </row>
    <row r="43" spans="1:23" hidden="1">
      <c r="A43" s="15" t="s">
        <v>603</v>
      </c>
      <c r="B43" s="15" t="s">
        <v>604</v>
      </c>
      <c r="C43" s="2" t="s">
        <v>207</v>
      </c>
      <c r="D43" s="2" t="s">
        <v>381</v>
      </c>
      <c r="E43" s="2" t="str">
        <f t="shared" si="3"/>
        <v>XER</v>
      </c>
      <c r="G43" s="15"/>
      <c r="H43" s="15" t="str">
        <f t="shared" si="0"/>
        <v>.</v>
      </c>
      <c r="I43" s="2" t="str">
        <f t="shared" si="6"/>
        <v/>
      </c>
      <c r="J43" s="2" t="s">
        <v>207</v>
      </c>
      <c r="K43" s="2" t="s">
        <v>635</v>
      </c>
      <c r="L43" s="2" t="str">
        <f>VLOOKUP(J43,C43:$E$248,3,FALSE)</f>
        <v>XER</v>
      </c>
      <c r="M43" s="2" t="str">
        <f t="shared" si="2"/>
        <v>"Switzerland "</v>
      </c>
      <c r="S43" s="2" t="s">
        <v>46</v>
      </c>
      <c r="T43" s="2" t="s">
        <v>860</v>
      </c>
      <c r="U43" s="2" t="str">
        <f t="shared" si="4"/>
        <v>CHN</v>
      </c>
      <c r="V43" s="2" t="str">
        <f t="shared" si="5"/>
        <v>"China"</v>
      </c>
      <c r="W43" s="2" t="s">
        <v>608</v>
      </c>
    </row>
    <row r="44" spans="1:23" hidden="1">
      <c r="A44" s="15" t="s">
        <v>615</v>
      </c>
      <c r="B44" s="15" t="s">
        <v>616</v>
      </c>
      <c r="C44" s="2" t="s">
        <v>45</v>
      </c>
      <c r="D44" s="2" t="s">
        <v>382</v>
      </c>
      <c r="E44" s="2" t="str">
        <f t="shared" si="3"/>
        <v>XLM</v>
      </c>
      <c r="G44" s="15"/>
      <c r="H44" s="15" t="str">
        <f t="shared" si="0"/>
        <v>.</v>
      </c>
      <c r="I44" s="2" t="str">
        <f t="shared" si="6"/>
        <v/>
      </c>
      <c r="J44" s="2" t="s">
        <v>45</v>
      </c>
      <c r="K44" s="2" t="s">
        <v>635</v>
      </c>
      <c r="L44" s="2" t="str">
        <f>VLOOKUP(J44,C44:$E$248,3,FALSE)</f>
        <v>XLM</v>
      </c>
      <c r="M44" s="2" t="str">
        <f t="shared" si="2"/>
        <v>"Chile "</v>
      </c>
      <c r="S44" s="2" t="s">
        <v>49</v>
      </c>
      <c r="T44" s="2" t="s">
        <v>860</v>
      </c>
      <c r="U44" s="2" t="str">
        <f t="shared" si="4"/>
        <v>XLM</v>
      </c>
      <c r="V44" s="2" t="str">
        <f t="shared" si="5"/>
        <v>"Colombia"</v>
      </c>
      <c r="W44" s="2" t="s">
        <v>677</v>
      </c>
    </row>
    <row r="45" spans="1:23" hidden="1">
      <c r="A45" s="15" t="s">
        <v>46</v>
      </c>
      <c r="B45" s="15" t="s">
        <v>608</v>
      </c>
      <c r="C45" s="2" t="s">
        <v>46</v>
      </c>
      <c r="D45" s="2" t="s">
        <v>383</v>
      </c>
      <c r="E45" s="2" t="str">
        <f t="shared" si="3"/>
        <v>CHN</v>
      </c>
      <c r="G45" s="15"/>
      <c r="H45" s="15" t="str">
        <f t="shared" si="0"/>
        <v>.</v>
      </c>
      <c r="I45" s="2" t="str">
        <f t="shared" si="6"/>
        <v/>
      </c>
      <c r="J45" s="2" t="s">
        <v>46</v>
      </c>
      <c r="K45" s="2" t="s">
        <v>635</v>
      </c>
      <c r="L45" s="2" t="str">
        <f>VLOOKUP(J45,C45:$E$248,3,FALSE)</f>
        <v>CHN</v>
      </c>
      <c r="M45" s="2" t="str">
        <f t="shared" si="2"/>
        <v>"China "</v>
      </c>
      <c r="S45" s="2" t="s">
        <v>50</v>
      </c>
      <c r="T45" s="2" t="s">
        <v>860</v>
      </c>
      <c r="U45" s="2" t="str">
        <f t="shared" si="4"/>
        <v>XAF</v>
      </c>
      <c r="V45" s="2" t="str">
        <f t="shared" si="5"/>
        <v>"Comoros"</v>
      </c>
      <c r="W45" s="2" t="s">
        <v>678</v>
      </c>
    </row>
    <row r="46" spans="1:23" hidden="1">
      <c r="A46" s="15" t="s">
        <v>623</v>
      </c>
      <c r="B46" s="15" t="s">
        <v>624</v>
      </c>
      <c r="C46" s="2" t="s">
        <v>55</v>
      </c>
      <c r="D46" s="2" t="s">
        <v>384</v>
      </c>
      <c r="E46" s="2" t="str">
        <f t="shared" si="3"/>
        <v>XAF</v>
      </c>
      <c r="G46" s="15"/>
      <c r="H46" s="15" t="str">
        <f t="shared" si="0"/>
        <v>.</v>
      </c>
      <c r="I46" s="2" t="str">
        <f t="shared" si="6"/>
        <v/>
      </c>
      <c r="J46" s="2" t="s">
        <v>55</v>
      </c>
      <c r="K46" s="2" t="s">
        <v>635</v>
      </c>
      <c r="L46" s="2" t="str">
        <f>VLOOKUP(J46,C46:$E$248,3,FALSE)</f>
        <v>XAF</v>
      </c>
      <c r="M46" s="2" t="str">
        <f t="shared" si="2"/>
        <v>"Côte d'Ivoire "</v>
      </c>
      <c r="S46" s="2" t="s">
        <v>52</v>
      </c>
      <c r="T46" s="2" t="s">
        <v>860</v>
      </c>
      <c r="U46" s="2" t="str">
        <f t="shared" si="4"/>
        <v>XAF</v>
      </c>
      <c r="V46" s="2" t="str">
        <f t="shared" si="5"/>
        <v>"Congo, Dem. Rep."</v>
      </c>
      <c r="W46" s="2" t="s">
        <v>679</v>
      </c>
    </row>
    <row r="47" spans="1:23" hidden="1">
      <c r="A47" s="15" t="s">
        <v>623</v>
      </c>
      <c r="B47" s="15" t="s">
        <v>624</v>
      </c>
      <c r="C47" s="2" t="s">
        <v>39</v>
      </c>
      <c r="D47" s="2" t="s">
        <v>385</v>
      </c>
      <c r="E47" s="2" t="str">
        <f t="shared" si="3"/>
        <v>XAF</v>
      </c>
      <c r="G47" s="15"/>
      <c r="H47" s="15" t="str">
        <f t="shared" si="0"/>
        <v>.</v>
      </c>
      <c r="I47" s="2" t="str">
        <f t="shared" si="6"/>
        <v/>
      </c>
      <c r="J47" s="2" t="s">
        <v>39</v>
      </c>
      <c r="K47" s="2" t="s">
        <v>635</v>
      </c>
      <c r="L47" s="2" t="str">
        <f>VLOOKUP(J47,C47:$E$248,3,FALSE)</f>
        <v>XAF</v>
      </c>
      <c r="M47" s="2" t="str">
        <f t="shared" si="2"/>
        <v>"Cameroon "</v>
      </c>
      <c r="S47" s="2" t="s">
        <v>51</v>
      </c>
      <c r="T47" s="2" t="s">
        <v>860</v>
      </c>
      <c r="U47" s="2" t="str">
        <f t="shared" si="4"/>
        <v>XAF</v>
      </c>
      <c r="V47" s="2" t="str">
        <f t="shared" si="5"/>
        <v>"Congo, Rep."</v>
      </c>
      <c r="W47" s="2" t="s">
        <v>680</v>
      </c>
    </row>
    <row r="48" spans="1:23" hidden="1">
      <c r="A48" s="15" t="s">
        <v>623</v>
      </c>
      <c r="B48" s="15" t="s">
        <v>624</v>
      </c>
      <c r="C48" s="2" t="s">
        <v>52</v>
      </c>
      <c r="D48" s="2" t="s">
        <v>386</v>
      </c>
      <c r="E48" s="2" t="str">
        <f t="shared" si="3"/>
        <v>XAF</v>
      </c>
      <c r="G48" s="15"/>
      <c r="H48" s="15" t="str">
        <f t="shared" si="0"/>
        <v>.</v>
      </c>
      <c r="I48" s="2" t="str">
        <f t="shared" si="6"/>
        <v/>
      </c>
      <c r="J48" s="2" t="s">
        <v>52</v>
      </c>
      <c r="K48" s="2" t="s">
        <v>635</v>
      </c>
      <c r="L48" s="2" t="str">
        <f>VLOOKUP(J48,C48:$E$248,3,FALSE)</f>
        <v>XAF</v>
      </c>
      <c r="M48" s="2" t="str">
        <f t="shared" si="2"/>
        <v>"Congo, the Democratic Republic of the "</v>
      </c>
      <c r="S48" s="2" t="s">
        <v>54</v>
      </c>
      <c r="T48" s="2" t="s">
        <v>860</v>
      </c>
      <c r="U48" s="2" t="str">
        <f t="shared" si="4"/>
        <v>XLM</v>
      </c>
      <c r="V48" s="2" t="str">
        <f t="shared" si="5"/>
        <v>"Costa Rica"</v>
      </c>
      <c r="W48" s="2" t="s">
        <v>681</v>
      </c>
    </row>
    <row r="49" spans="1:23" hidden="1">
      <c r="A49" s="15" t="s">
        <v>623</v>
      </c>
      <c r="B49" s="15" t="s">
        <v>624</v>
      </c>
      <c r="C49" s="2" t="s">
        <v>51</v>
      </c>
      <c r="D49" s="2" t="s">
        <v>387</v>
      </c>
      <c r="E49" s="2" t="str">
        <f t="shared" si="3"/>
        <v>XAF</v>
      </c>
      <c r="G49" s="15"/>
      <c r="H49" s="15" t="str">
        <f t="shared" si="0"/>
        <v>.</v>
      </c>
      <c r="I49" s="2" t="str">
        <f t="shared" si="6"/>
        <v/>
      </c>
      <c r="J49" s="2" t="s">
        <v>51</v>
      </c>
      <c r="K49" s="2" t="s">
        <v>635</v>
      </c>
      <c r="L49" s="2" t="str">
        <f>VLOOKUP(J49,C49:$E$248,3,FALSE)</f>
        <v>XAF</v>
      </c>
      <c r="M49" s="2" t="str">
        <f t="shared" si="2"/>
        <v>"Congo "</v>
      </c>
      <c r="S49" s="2" t="s">
        <v>55</v>
      </c>
      <c r="T49" s="2" t="s">
        <v>860</v>
      </c>
      <c r="U49" s="2" t="str">
        <f t="shared" si="4"/>
        <v>XAF</v>
      </c>
      <c r="V49" s="2" t="str">
        <f t="shared" si="5"/>
        <v>"Cote d'Ivoire"</v>
      </c>
      <c r="W49" s="2" t="s">
        <v>682</v>
      </c>
    </row>
    <row r="50" spans="1:23">
      <c r="A50" s="15" t="s">
        <v>612</v>
      </c>
      <c r="B50" s="15" t="s">
        <v>613</v>
      </c>
      <c r="C50" s="2" t="s">
        <v>53</v>
      </c>
      <c r="D50" s="2" t="s">
        <v>388</v>
      </c>
      <c r="E50" s="2" t="str">
        <f t="shared" si="3"/>
        <v>XSA</v>
      </c>
      <c r="G50" s="15"/>
      <c r="H50" s="15" t="e">
        <f t="shared" si="0"/>
        <v>#N/A</v>
      </c>
      <c r="I50" s="2" t="str">
        <f t="shared" si="6"/>
        <v/>
      </c>
      <c r="J50" s="2" t="s">
        <v>53</v>
      </c>
      <c r="K50" s="2" t="s">
        <v>635</v>
      </c>
      <c r="L50" s="2" t="str">
        <f>VLOOKUP(J50,C50:$E$248,3,FALSE)</f>
        <v>XSA</v>
      </c>
      <c r="M50" s="2" t="str">
        <f t="shared" si="2"/>
        <v>"Cook Islands "</v>
      </c>
      <c r="S50" s="2" t="s">
        <v>56</v>
      </c>
      <c r="T50" s="2" t="s">
        <v>860</v>
      </c>
      <c r="U50" s="2" t="str">
        <f t="shared" si="4"/>
        <v>XER</v>
      </c>
      <c r="V50" s="2" t="str">
        <f t="shared" si="5"/>
        <v>"Croatia"</v>
      </c>
      <c r="W50" s="2" t="s">
        <v>683</v>
      </c>
    </row>
    <row r="51" spans="1:23" hidden="1">
      <c r="A51" s="15" t="s">
        <v>615</v>
      </c>
      <c r="B51" s="15" t="s">
        <v>616</v>
      </c>
      <c r="C51" s="2" t="s">
        <v>49</v>
      </c>
      <c r="D51" s="2" t="s">
        <v>389</v>
      </c>
      <c r="E51" s="2" t="str">
        <f t="shared" si="3"/>
        <v>XLM</v>
      </c>
      <c r="G51" s="15"/>
      <c r="H51" s="15" t="str">
        <f t="shared" si="0"/>
        <v>.</v>
      </c>
      <c r="I51" s="2" t="str">
        <f t="shared" si="6"/>
        <v/>
      </c>
      <c r="J51" s="2" t="s">
        <v>49</v>
      </c>
      <c r="K51" s="2" t="s">
        <v>635</v>
      </c>
      <c r="L51" s="2" t="str">
        <f>VLOOKUP(J51,C51:$E$248,3,FALSE)</f>
        <v>XLM</v>
      </c>
      <c r="M51" s="2" t="str">
        <f t="shared" si="2"/>
        <v>"Colombia "</v>
      </c>
      <c r="S51" s="2" t="s">
        <v>57</v>
      </c>
      <c r="T51" s="2" t="s">
        <v>860</v>
      </c>
      <c r="U51" s="2" t="str">
        <f t="shared" si="4"/>
        <v>XLM</v>
      </c>
      <c r="V51" s="2" t="str">
        <f t="shared" si="5"/>
        <v>"Cuba"</v>
      </c>
      <c r="W51" s="2" t="s">
        <v>684</v>
      </c>
    </row>
    <row r="52" spans="1:23" hidden="1">
      <c r="A52" s="15" t="s">
        <v>623</v>
      </c>
      <c r="B52" s="15" t="s">
        <v>624</v>
      </c>
      <c r="C52" s="2" t="s">
        <v>50</v>
      </c>
      <c r="D52" s="2" t="s">
        <v>390</v>
      </c>
      <c r="E52" s="2" t="str">
        <f t="shared" si="3"/>
        <v>XAF</v>
      </c>
      <c r="G52" s="15"/>
      <c r="H52" s="15" t="str">
        <f t="shared" si="0"/>
        <v>.</v>
      </c>
      <c r="I52" s="2" t="str">
        <f t="shared" si="6"/>
        <v/>
      </c>
      <c r="J52" s="2" t="s">
        <v>50</v>
      </c>
      <c r="K52" s="2" t="s">
        <v>635</v>
      </c>
      <c r="L52" s="2" t="str">
        <f>VLOOKUP(J52,C52:$E$248,3,FALSE)</f>
        <v>XAF</v>
      </c>
      <c r="M52" s="2" t="str">
        <f t="shared" si="2"/>
        <v>"Comoros "</v>
      </c>
      <c r="S52" s="2" t="s">
        <v>685</v>
      </c>
      <c r="T52" s="2" t="s">
        <v>860</v>
      </c>
      <c r="U52" s="2" t="s">
        <v>853</v>
      </c>
      <c r="V52" s="2" t="str">
        <f t="shared" si="5"/>
        <v>"Curacao"</v>
      </c>
      <c r="W52" s="2" t="s">
        <v>686</v>
      </c>
    </row>
    <row r="53" spans="1:23" hidden="1">
      <c r="A53" s="15" t="s">
        <v>623</v>
      </c>
      <c r="B53" s="15" t="s">
        <v>624</v>
      </c>
      <c r="C53" s="2" t="s">
        <v>41</v>
      </c>
      <c r="D53" s="2" t="s">
        <v>391</v>
      </c>
      <c r="E53" s="2" t="str">
        <f t="shared" si="3"/>
        <v>XAF</v>
      </c>
      <c r="G53" s="15"/>
      <c r="H53" s="15" t="str">
        <f t="shared" si="0"/>
        <v>.</v>
      </c>
      <c r="I53" s="2" t="str">
        <f t="shared" si="6"/>
        <v/>
      </c>
      <c r="J53" s="2" t="s">
        <v>41</v>
      </c>
      <c r="K53" s="2" t="s">
        <v>635</v>
      </c>
      <c r="L53" s="2" t="str">
        <f>VLOOKUP(J53,C53:$E$248,3,FALSE)</f>
        <v>XAF</v>
      </c>
      <c r="M53" s="2" t="str">
        <f t="shared" si="2"/>
        <v>"Cape Verde "</v>
      </c>
      <c r="S53" s="2" t="s">
        <v>58</v>
      </c>
      <c r="T53" s="2" t="s">
        <v>860</v>
      </c>
      <c r="U53" s="2" t="str">
        <f t="shared" si="4"/>
        <v>XE25</v>
      </c>
      <c r="V53" s="2" t="str">
        <f t="shared" si="5"/>
        <v>"Cyprus"</v>
      </c>
      <c r="W53" s="2" t="s">
        <v>687</v>
      </c>
    </row>
    <row r="54" spans="1:23" hidden="1">
      <c r="A54" s="15" t="s">
        <v>615</v>
      </c>
      <c r="B54" s="15" t="s">
        <v>616</v>
      </c>
      <c r="C54" s="2" t="s">
        <v>54</v>
      </c>
      <c r="D54" s="2" t="s">
        <v>392</v>
      </c>
      <c r="E54" s="2" t="str">
        <f t="shared" si="3"/>
        <v>XLM</v>
      </c>
      <c r="G54" s="15"/>
      <c r="H54" s="15" t="str">
        <f t="shared" si="0"/>
        <v>.</v>
      </c>
      <c r="I54" s="2" t="str">
        <f t="shared" si="6"/>
        <v/>
      </c>
      <c r="J54" s="2" t="s">
        <v>54</v>
      </c>
      <c r="K54" s="2" t="s">
        <v>635</v>
      </c>
      <c r="L54" s="2" t="str">
        <f>VLOOKUP(J54,C54:$E$248,3,FALSE)</f>
        <v>XLM</v>
      </c>
      <c r="M54" s="2" t="str">
        <f t="shared" si="2"/>
        <v>"Costa Rica "</v>
      </c>
      <c r="S54" s="2" t="s">
        <v>59</v>
      </c>
      <c r="T54" s="2" t="s">
        <v>860</v>
      </c>
      <c r="U54" s="2" t="str">
        <f t="shared" si="4"/>
        <v>XE25</v>
      </c>
      <c r="V54" s="2" t="str">
        <f t="shared" si="5"/>
        <v>"Czech Republic"</v>
      </c>
      <c r="W54" s="2" t="s">
        <v>688</v>
      </c>
    </row>
    <row r="55" spans="1:23" hidden="1">
      <c r="A55" s="15" t="s">
        <v>615</v>
      </c>
      <c r="B55" s="15" t="s">
        <v>616</v>
      </c>
      <c r="C55" s="2" t="s">
        <v>57</v>
      </c>
      <c r="D55" s="2" t="s">
        <v>393</v>
      </c>
      <c r="E55" s="2" t="str">
        <f t="shared" si="3"/>
        <v>XLM</v>
      </c>
      <c r="G55" s="15"/>
      <c r="H55" s="15" t="str">
        <f t="shared" si="0"/>
        <v>.</v>
      </c>
      <c r="I55" s="2" t="str">
        <f t="shared" si="6"/>
        <v/>
      </c>
      <c r="J55" s="2" t="s">
        <v>57</v>
      </c>
      <c r="K55" s="2" t="s">
        <v>635</v>
      </c>
      <c r="L55" s="2" t="str">
        <f>VLOOKUP(J55,C55:$E$248,3,FALSE)</f>
        <v>XLM</v>
      </c>
      <c r="M55" s="2" t="str">
        <f t="shared" si="2"/>
        <v>"Cuba "</v>
      </c>
      <c r="S55" s="2" t="s">
        <v>60</v>
      </c>
      <c r="T55" s="2" t="s">
        <v>860</v>
      </c>
      <c r="U55" s="2" t="str">
        <f t="shared" si="4"/>
        <v>XE25</v>
      </c>
      <c r="V55" s="2" t="str">
        <f t="shared" si="5"/>
        <v>"Denmark"</v>
      </c>
      <c r="W55" s="2" t="s">
        <v>689</v>
      </c>
    </row>
    <row r="56" spans="1:23">
      <c r="A56" s="15" t="s">
        <v>612</v>
      </c>
      <c r="B56" s="15" t="s">
        <v>613</v>
      </c>
      <c r="C56" s="2" t="s">
        <v>47</v>
      </c>
      <c r="D56" s="2" t="s">
        <v>394</v>
      </c>
      <c r="E56" s="2" t="str">
        <f t="shared" si="3"/>
        <v>XSA</v>
      </c>
      <c r="G56" s="15"/>
      <c r="H56" s="15" t="e">
        <f t="shared" si="0"/>
        <v>#N/A</v>
      </c>
      <c r="I56" s="2" t="str">
        <f t="shared" si="6"/>
        <v/>
      </c>
      <c r="J56" s="2" t="s">
        <v>47</v>
      </c>
      <c r="K56" s="2" t="s">
        <v>635</v>
      </c>
      <c r="L56" s="2" t="str">
        <f>VLOOKUP(J56,C56:$E$248,3,FALSE)</f>
        <v>XSA</v>
      </c>
      <c r="M56" s="2" t="str">
        <f t="shared" si="2"/>
        <v>"Christmas Island "</v>
      </c>
      <c r="S56" s="2" t="s">
        <v>61</v>
      </c>
      <c r="T56" s="2" t="s">
        <v>860</v>
      </c>
      <c r="U56" s="2" t="str">
        <f t="shared" si="4"/>
        <v>XAF</v>
      </c>
      <c r="V56" s="2" t="str">
        <f t="shared" si="5"/>
        <v>"Djibouti"</v>
      </c>
      <c r="W56" s="2" t="s">
        <v>690</v>
      </c>
    </row>
    <row r="57" spans="1:23" hidden="1">
      <c r="A57" s="15" t="s">
        <v>615</v>
      </c>
      <c r="B57" s="15" t="s">
        <v>616</v>
      </c>
      <c r="C57" s="2" t="s">
        <v>42</v>
      </c>
      <c r="D57" s="2" t="s">
        <v>395</v>
      </c>
      <c r="E57" s="2" t="str">
        <f t="shared" si="3"/>
        <v>XLM</v>
      </c>
      <c r="G57" s="15"/>
      <c r="H57" s="15" t="str">
        <f t="shared" si="0"/>
        <v>.</v>
      </c>
      <c r="I57" s="2" t="str">
        <f t="shared" si="6"/>
        <v/>
      </c>
      <c r="J57" s="2" t="s">
        <v>42</v>
      </c>
      <c r="K57" s="2" t="s">
        <v>635</v>
      </c>
      <c r="L57" s="2" t="str">
        <f>VLOOKUP(J57,C57:$E$248,3,FALSE)</f>
        <v>XLM</v>
      </c>
      <c r="M57" s="2" t="str">
        <f t="shared" si="2"/>
        <v>"Cayman Islands "</v>
      </c>
      <c r="S57" s="2" t="s">
        <v>62</v>
      </c>
      <c r="T57" s="2" t="s">
        <v>860</v>
      </c>
      <c r="U57" s="2" t="str">
        <f t="shared" si="4"/>
        <v>XLM</v>
      </c>
      <c r="V57" s="2" t="str">
        <f t="shared" si="5"/>
        <v>"Dominica"</v>
      </c>
      <c r="W57" s="2" t="s">
        <v>691</v>
      </c>
    </row>
    <row r="58" spans="1:23" hidden="1">
      <c r="A58" s="15" t="s">
        <v>602</v>
      </c>
      <c r="B58" s="15" t="s">
        <v>240</v>
      </c>
      <c r="C58" s="2" t="s">
        <v>58</v>
      </c>
      <c r="D58" s="2" t="s">
        <v>396</v>
      </c>
      <c r="E58" s="2" t="str">
        <f t="shared" si="3"/>
        <v>XE25</v>
      </c>
      <c r="G58" s="15"/>
      <c r="H58" s="15" t="str">
        <f t="shared" si="0"/>
        <v>.</v>
      </c>
      <c r="I58" s="2" t="str">
        <f t="shared" si="6"/>
        <v/>
      </c>
      <c r="J58" s="2" t="s">
        <v>58</v>
      </c>
      <c r="K58" s="2" t="s">
        <v>635</v>
      </c>
      <c r="L58" s="2" t="str">
        <f>VLOOKUP(J58,C58:$E$248,3,FALSE)</f>
        <v>XE25</v>
      </c>
      <c r="M58" s="2" t="str">
        <f t="shared" si="2"/>
        <v>"Cyprus "</v>
      </c>
      <c r="S58" s="2" t="s">
        <v>63</v>
      </c>
      <c r="T58" s="2" t="s">
        <v>860</v>
      </c>
      <c r="U58" s="2" t="str">
        <f t="shared" si="4"/>
        <v>XLM</v>
      </c>
      <c r="V58" s="2" t="str">
        <f t="shared" si="5"/>
        <v>"Dominican Republic"</v>
      </c>
      <c r="W58" s="2" t="s">
        <v>692</v>
      </c>
    </row>
    <row r="59" spans="1:23" hidden="1">
      <c r="A59" s="15" t="s">
        <v>602</v>
      </c>
      <c r="B59" s="15" t="s">
        <v>240</v>
      </c>
      <c r="C59" s="2" t="s">
        <v>59</v>
      </c>
      <c r="D59" s="2" t="s">
        <v>397</v>
      </c>
      <c r="E59" s="2" t="str">
        <f t="shared" si="3"/>
        <v>XE25</v>
      </c>
      <c r="G59" s="15"/>
      <c r="H59" s="15" t="str">
        <f t="shared" si="0"/>
        <v>.</v>
      </c>
      <c r="I59" s="2" t="str">
        <f t="shared" si="6"/>
        <v/>
      </c>
      <c r="J59" s="2" t="s">
        <v>59</v>
      </c>
      <c r="K59" s="2" t="s">
        <v>635</v>
      </c>
      <c r="L59" s="2" t="str">
        <f>VLOOKUP(J59,C59:$E$248,3,FALSE)</f>
        <v>XE25</v>
      </c>
      <c r="M59" s="2" t="str">
        <f t="shared" si="2"/>
        <v>"Czech Republic "</v>
      </c>
      <c r="S59" s="2" t="s">
        <v>65</v>
      </c>
      <c r="T59" s="2" t="s">
        <v>860</v>
      </c>
      <c r="U59" s="2" t="str">
        <f t="shared" si="4"/>
        <v>XLM</v>
      </c>
      <c r="V59" s="2" t="str">
        <f t="shared" si="5"/>
        <v>"Ecuador"</v>
      </c>
      <c r="W59" s="2" t="s">
        <v>693</v>
      </c>
    </row>
    <row r="60" spans="1:23" hidden="1">
      <c r="A60" s="15" t="s">
        <v>602</v>
      </c>
      <c r="B60" s="15" t="s">
        <v>240</v>
      </c>
      <c r="C60" s="2" t="s">
        <v>83</v>
      </c>
      <c r="D60" s="2" t="s">
        <v>398</v>
      </c>
      <c r="E60" s="2" t="str">
        <f t="shared" si="3"/>
        <v>XE25</v>
      </c>
      <c r="G60" s="15"/>
      <c r="H60" s="15" t="str">
        <f t="shared" si="0"/>
        <v>.</v>
      </c>
      <c r="I60" s="2" t="str">
        <f t="shared" si="6"/>
        <v/>
      </c>
      <c r="J60" s="2" t="s">
        <v>83</v>
      </c>
      <c r="K60" s="2" t="s">
        <v>635</v>
      </c>
      <c r="L60" s="2" t="str">
        <f>VLOOKUP(J60,C60:$E$248,3,FALSE)</f>
        <v>XE25</v>
      </c>
      <c r="M60" s="2" t="str">
        <f t="shared" si="2"/>
        <v>"Germany "</v>
      </c>
      <c r="S60" s="2" t="s">
        <v>66</v>
      </c>
      <c r="T60" s="2" t="s">
        <v>860</v>
      </c>
      <c r="U60" s="2" t="str">
        <f t="shared" si="4"/>
        <v>XNF</v>
      </c>
      <c r="V60" s="2" t="str">
        <f t="shared" si="5"/>
        <v>"Egypt, Arab Rep."</v>
      </c>
      <c r="W60" s="2" t="s">
        <v>694</v>
      </c>
    </row>
    <row r="61" spans="1:23" hidden="1">
      <c r="A61" s="15" t="s">
        <v>623</v>
      </c>
      <c r="B61" s="15" t="s">
        <v>624</v>
      </c>
      <c r="C61" s="2" t="s">
        <v>61</v>
      </c>
      <c r="D61" s="2" t="s">
        <v>399</v>
      </c>
      <c r="E61" s="2" t="str">
        <f t="shared" si="3"/>
        <v>XAF</v>
      </c>
      <c r="G61" s="15"/>
      <c r="H61" s="15" t="str">
        <f t="shared" si="0"/>
        <v>.</v>
      </c>
      <c r="I61" s="2" t="str">
        <f t="shared" si="6"/>
        <v/>
      </c>
      <c r="J61" s="2" t="s">
        <v>61</v>
      </c>
      <c r="K61" s="2" t="s">
        <v>635</v>
      </c>
      <c r="L61" s="2" t="str">
        <f>VLOOKUP(J61,C61:$E$248,3,FALSE)</f>
        <v>XAF</v>
      </c>
      <c r="M61" s="2" t="str">
        <f t="shared" si="2"/>
        <v>"Djibouti "</v>
      </c>
      <c r="S61" s="2" t="s">
        <v>67</v>
      </c>
      <c r="T61" s="2" t="s">
        <v>860</v>
      </c>
      <c r="U61" s="2" t="str">
        <f t="shared" si="4"/>
        <v>XLM</v>
      </c>
      <c r="V61" s="2" t="str">
        <f t="shared" si="5"/>
        <v>"El Salvador"</v>
      </c>
      <c r="W61" s="2" t="s">
        <v>695</v>
      </c>
    </row>
    <row r="62" spans="1:23" hidden="1">
      <c r="A62" s="15" t="s">
        <v>615</v>
      </c>
      <c r="B62" s="15" t="s">
        <v>616</v>
      </c>
      <c r="C62" s="2" t="s">
        <v>62</v>
      </c>
      <c r="D62" s="2" t="s">
        <v>400</v>
      </c>
      <c r="E62" s="2" t="str">
        <f t="shared" si="3"/>
        <v>XLM</v>
      </c>
      <c r="G62" s="15"/>
      <c r="H62" s="15" t="str">
        <f t="shared" si="0"/>
        <v>.</v>
      </c>
      <c r="I62" s="2" t="str">
        <f t="shared" si="6"/>
        <v/>
      </c>
      <c r="J62" s="2" t="s">
        <v>62</v>
      </c>
      <c r="K62" s="2" t="s">
        <v>635</v>
      </c>
      <c r="L62" s="2" t="str">
        <f>VLOOKUP(J62,C62:$E$248,3,FALSE)</f>
        <v>XLM</v>
      </c>
      <c r="M62" s="2" t="str">
        <f t="shared" si="2"/>
        <v>"Dominica "</v>
      </c>
      <c r="S62" s="2" t="s">
        <v>68</v>
      </c>
      <c r="T62" s="2" t="s">
        <v>860</v>
      </c>
      <c r="U62" s="2" t="str">
        <f t="shared" si="4"/>
        <v>XAF</v>
      </c>
      <c r="V62" s="2" t="str">
        <f t="shared" si="5"/>
        <v>"Equatorial Guinea"</v>
      </c>
      <c r="W62" s="2" t="s">
        <v>696</v>
      </c>
    </row>
    <row r="63" spans="1:23" hidden="1">
      <c r="A63" s="15" t="s">
        <v>602</v>
      </c>
      <c r="B63" s="15" t="s">
        <v>240</v>
      </c>
      <c r="C63" s="2" t="s">
        <v>60</v>
      </c>
      <c r="D63" s="2" t="s">
        <v>401</v>
      </c>
      <c r="E63" s="2" t="str">
        <f t="shared" si="3"/>
        <v>XE25</v>
      </c>
      <c r="G63" s="15"/>
      <c r="H63" s="15" t="str">
        <f t="shared" si="0"/>
        <v>.</v>
      </c>
      <c r="I63" s="2" t="str">
        <f t="shared" si="6"/>
        <v/>
      </c>
      <c r="J63" s="2" t="s">
        <v>60</v>
      </c>
      <c r="K63" s="2" t="s">
        <v>635</v>
      </c>
      <c r="L63" s="2" t="str">
        <f>VLOOKUP(J63,C63:$E$248,3,FALSE)</f>
        <v>XE25</v>
      </c>
      <c r="M63" s="2" t="str">
        <f t="shared" si="2"/>
        <v>"Denmark "</v>
      </c>
      <c r="S63" s="2" t="s">
        <v>69</v>
      </c>
      <c r="T63" s="2" t="s">
        <v>860</v>
      </c>
      <c r="U63" s="2" t="str">
        <f t="shared" si="4"/>
        <v>XAF</v>
      </c>
      <c r="V63" s="2" t="str">
        <f t="shared" si="5"/>
        <v>"Eritrea"</v>
      </c>
      <c r="W63" s="2" t="s">
        <v>697</v>
      </c>
    </row>
    <row r="64" spans="1:23" hidden="1">
      <c r="A64" s="15" t="s">
        <v>615</v>
      </c>
      <c r="B64" s="15" t="s">
        <v>616</v>
      </c>
      <c r="C64" s="2" t="s">
        <v>63</v>
      </c>
      <c r="D64" s="2" t="s">
        <v>402</v>
      </c>
      <c r="E64" s="2" t="str">
        <f t="shared" si="3"/>
        <v>XLM</v>
      </c>
      <c r="G64" s="15"/>
      <c r="H64" s="15" t="str">
        <f t="shared" si="0"/>
        <v>.</v>
      </c>
      <c r="I64" s="2" t="str">
        <f t="shared" si="6"/>
        <v/>
      </c>
      <c r="J64" s="2" t="s">
        <v>63</v>
      </c>
      <c r="K64" s="2" t="s">
        <v>635</v>
      </c>
      <c r="L64" s="2" t="str">
        <f>VLOOKUP(J64,C64:$E$248,3,FALSE)</f>
        <v>XLM</v>
      </c>
      <c r="M64" s="2" t="str">
        <f t="shared" si="2"/>
        <v>"Dominican Republic "</v>
      </c>
      <c r="S64" s="2" t="s">
        <v>70</v>
      </c>
      <c r="T64" s="2" t="s">
        <v>860</v>
      </c>
      <c r="U64" s="2" t="str">
        <f t="shared" si="4"/>
        <v>XE25</v>
      </c>
      <c r="V64" s="2" t="str">
        <f t="shared" si="5"/>
        <v>"Estonia"</v>
      </c>
      <c r="W64" s="2" t="s">
        <v>698</v>
      </c>
    </row>
    <row r="65" spans="1:23" hidden="1">
      <c r="A65" s="15" t="s">
        <v>621</v>
      </c>
      <c r="B65" s="15" t="s">
        <v>622</v>
      </c>
      <c r="C65" s="2" t="s">
        <v>5</v>
      </c>
      <c r="D65" s="2" t="s">
        <v>403</v>
      </c>
      <c r="E65" s="2" t="str">
        <f t="shared" si="3"/>
        <v>XNF</v>
      </c>
      <c r="G65" s="15"/>
      <c r="H65" s="15" t="str">
        <f t="shared" si="0"/>
        <v>.</v>
      </c>
      <c r="I65" s="2" t="str">
        <f t="shared" si="6"/>
        <v/>
      </c>
      <c r="J65" s="2" t="s">
        <v>5</v>
      </c>
      <c r="K65" s="2" t="s">
        <v>635</v>
      </c>
      <c r="L65" s="2" t="str">
        <f>VLOOKUP(J65,C65:$E$248,3,FALSE)</f>
        <v>XNF</v>
      </c>
      <c r="M65" s="2" t="str">
        <f t="shared" si="2"/>
        <v>"Algeria "</v>
      </c>
      <c r="S65" s="2" t="s">
        <v>205</v>
      </c>
      <c r="T65" s="2" t="s">
        <v>860</v>
      </c>
      <c r="U65" s="2" t="str">
        <f t="shared" si="4"/>
        <v>XAF</v>
      </c>
      <c r="V65" s="2" t="str">
        <f t="shared" si="5"/>
        <v>"Eswatini"</v>
      </c>
      <c r="W65" s="2" t="s">
        <v>699</v>
      </c>
    </row>
    <row r="66" spans="1:23" hidden="1">
      <c r="A66" s="15" t="s">
        <v>615</v>
      </c>
      <c r="B66" s="15" t="s">
        <v>616</v>
      </c>
      <c r="C66" s="2" t="s">
        <v>65</v>
      </c>
      <c r="D66" s="2" t="s">
        <v>404</v>
      </c>
      <c r="E66" s="2" t="str">
        <f t="shared" si="3"/>
        <v>XLM</v>
      </c>
      <c r="G66" s="15"/>
      <c r="H66" s="15" t="str">
        <f t="shared" ref="H66:H129" si="7">VLOOKUP(J66,$S$2:$W$265,2,FALSE)</f>
        <v>.</v>
      </c>
      <c r="I66" s="2" t="str">
        <f t="shared" ref="I66:I87" si="8">IF(L66="#N/A","*","")</f>
        <v/>
      </c>
      <c r="J66" s="2" t="s">
        <v>65</v>
      </c>
      <c r="K66" s="2" t="s">
        <v>635</v>
      </c>
      <c r="L66" s="2" t="str">
        <f>VLOOKUP(J66,C66:$E$248,3,FALSE)</f>
        <v>XLM</v>
      </c>
      <c r="M66" s="2" t="str">
        <f t="shared" ref="M66:M129" si="9">""""&amp;D66&amp;""""</f>
        <v>"Ecuador "</v>
      </c>
      <c r="S66" s="2" t="s">
        <v>71</v>
      </c>
      <c r="T66" s="2" t="s">
        <v>860</v>
      </c>
      <c r="U66" s="2" t="str">
        <f t="shared" si="4"/>
        <v>XAF</v>
      </c>
      <c r="V66" s="2" t="str">
        <f t="shared" si="5"/>
        <v>"Ethiopia"</v>
      </c>
      <c r="W66" s="2" t="s">
        <v>700</v>
      </c>
    </row>
    <row r="67" spans="1:23" hidden="1">
      <c r="A67" s="15" t="s">
        <v>621</v>
      </c>
      <c r="B67" s="15" t="s">
        <v>622</v>
      </c>
      <c r="C67" s="2" t="s">
        <v>66</v>
      </c>
      <c r="D67" s="2" t="s">
        <v>405</v>
      </c>
      <c r="E67" s="2" t="str">
        <f t="shared" ref="E67:E130" si="10">A67</f>
        <v>XNF</v>
      </c>
      <c r="G67" s="15"/>
      <c r="H67" s="15" t="str">
        <f t="shared" si="7"/>
        <v>.</v>
      </c>
      <c r="I67" s="2" t="str">
        <f t="shared" si="8"/>
        <v/>
      </c>
      <c r="J67" s="2" t="s">
        <v>66</v>
      </c>
      <c r="K67" s="2" t="s">
        <v>635</v>
      </c>
      <c r="L67" s="2" t="str">
        <f>VLOOKUP(J67,C67:$E$248,3,FALSE)</f>
        <v>XNF</v>
      </c>
      <c r="M67" s="2" t="str">
        <f t="shared" si="9"/>
        <v>"Egypt "</v>
      </c>
      <c r="S67" s="2" t="s">
        <v>73</v>
      </c>
      <c r="T67" s="2" t="s">
        <v>860</v>
      </c>
      <c r="U67" s="2" t="str">
        <f t="shared" ref="U67:U130" si="11">VLOOKUP(S67,$J$2:$M$248,3,FALSE)</f>
        <v>XER</v>
      </c>
      <c r="V67" s="2" t="str">
        <f t="shared" ref="V67:V130" si="12">""""&amp;W67&amp;""""</f>
        <v>"Faroe Islands"</v>
      </c>
      <c r="W67" s="2" t="s">
        <v>701</v>
      </c>
    </row>
    <row r="68" spans="1:23" hidden="1">
      <c r="A68" s="15" t="s">
        <v>623</v>
      </c>
      <c r="B68" s="15" t="s">
        <v>624</v>
      </c>
      <c r="C68" s="2" t="s">
        <v>69</v>
      </c>
      <c r="D68" s="2" t="s">
        <v>406</v>
      </c>
      <c r="E68" s="2" t="str">
        <f t="shared" si="10"/>
        <v>XAF</v>
      </c>
      <c r="G68" s="15"/>
      <c r="H68" s="15" t="str">
        <f t="shared" si="7"/>
        <v>.</v>
      </c>
      <c r="I68" s="2" t="str">
        <f t="shared" si="8"/>
        <v/>
      </c>
      <c r="J68" s="2" t="s">
        <v>69</v>
      </c>
      <c r="K68" s="2" t="s">
        <v>635</v>
      </c>
      <c r="L68" s="2" t="str">
        <f>VLOOKUP(J68,C68:$E$248,3,FALSE)</f>
        <v>XAF</v>
      </c>
      <c r="M68" s="2" t="str">
        <f t="shared" si="9"/>
        <v>"Eritrea "</v>
      </c>
      <c r="S68" s="2" t="s">
        <v>74</v>
      </c>
      <c r="T68" s="2" t="s">
        <v>860</v>
      </c>
      <c r="U68" s="2" t="str">
        <f t="shared" si="11"/>
        <v>XSA</v>
      </c>
      <c r="V68" s="2" t="str">
        <f t="shared" si="12"/>
        <v>"Fiji"</v>
      </c>
      <c r="W68" s="2" t="s">
        <v>702</v>
      </c>
    </row>
    <row r="69" spans="1:23" hidden="1">
      <c r="A69" s="15" t="s">
        <v>623</v>
      </c>
      <c r="B69" s="15" t="s">
        <v>624</v>
      </c>
      <c r="C69" s="2" t="s">
        <v>236</v>
      </c>
      <c r="D69" s="2" t="s">
        <v>407</v>
      </c>
      <c r="E69" s="2" t="str">
        <f t="shared" si="10"/>
        <v>XAF</v>
      </c>
      <c r="G69" s="15"/>
      <c r="H69" s="15" t="e">
        <f t="shared" si="7"/>
        <v>#N/A</v>
      </c>
      <c r="I69" s="2" t="str">
        <f t="shared" si="8"/>
        <v/>
      </c>
      <c r="J69" s="2" t="s">
        <v>236</v>
      </c>
      <c r="K69" s="2" t="s">
        <v>635</v>
      </c>
      <c r="L69" s="2" t="str">
        <f>VLOOKUP(J69,C69:$E$248,3,FALSE)</f>
        <v>XAF</v>
      </c>
      <c r="M69" s="2" t="str">
        <f t="shared" si="9"/>
        <v>"Western Sahara "</v>
      </c>
      <c r="S69" s="2" t="s">
        <v>75</v>
      </c>
      <c r="T69" s="2" t="s">
        <v>860</v>
      </c>
      <c r="U69" s="2" t="str">
        <f t="shared" si="11"/>
        <v>XE25</v>
      </c>
      <c r="V69" s="2" t="str">
        <f t="shared" si="12"/>
        <v>"Finland"</v>
      </c>
      <c r="W69" s="2" t="s">
        <v>703</v>
      </c>
    </row>
    <row r="70" spans="1:23" hidden="1">
      <c r="A70" s="15" t="s">
        <v>602</v>
      </c>
      <c r="B70" s="15" t="s">
        <v>240</v>
      </c>
      <c r="C70" s="2" t="s">
        <v>200</v>
      </c>
      <c r="D70" s="2" t="s">
        <v>408</v>
      </c>
      <c r="E70" s="2" t="str">
        <f t="shared" si="10"/>
        <v>XE25</v>
      </c>
      <c r="G70" s="15"/>
      <c r="H70" s="15" t="str">
        <f t="shared" si="7"/>
        <v>.</v>
      </c>
      <c r="I70" s="2" t="str">
        <f t="shared" si="8"/>
        <v/>
      </c>
      <c r="J70" s="2" t="s">
        <v>200</v>
      </c>
      <c r="K70" s="2" t="s">
        <v>635</v>
      </c>
      <c r="L70" s="2" t="str">
        <f>VLOOKUP(J70,C70:$E$248,3,FALSE)</f>
        <v>XE25</v>
      </c>
      <c r="M70" s="2" t="str">
        <f t="shared" si="9"/>
        <v>"Spain "</v>
      </c>
      <c r="S70" s="2" t="s">
        <v>76</v>
      </c>
      <c r="T70" s="2" t="s">
        <v>860</v>
      </c>
      <c r="U70" s="2" t="str">
        <f t="shared" si="11"/>
        <v>XE25</v>
      </c>
      <c r="V70" s="2" t="str">
        <f t="shared" si="12"/>
        <v>"France"</v>
      </c>
      <c r="W70" s="2" t="s">
        <v>704</v>
      </c>
    </row>
    <row r="71" spans="1:23" hidden="1">
      <c r="A71" s="15" t="s">
        <v>602</v>
      </c>
      <c r="B71" s="15" t="s">
        <v>240</v>
      </c>
      <c r="C71" s="2" t="s">
        <v>70</v>
      </c>
      <c r="D71" s="2" t="s">
        <v>409</v>
      </c>
      <c r="E71" s="2" t="str">
        <f t="shared" si="10"/>
        <v>XE25</v>
      </c>
      <c r="G71" s="15"/>
      <c r="H71" s="15" t="str">
        <f t="shared" si="7"/>
        <v>.</v>
      </c>
      <c r="I71" s="2" t="str">
        <f t="shared" si="8"/>
        <v/>
      </c>
      <c r="J71" s="2" t="s">
        <v>70</v>
      </c>
      <c r="K71" s="2" t="s">
        <v>635</v>
      </c>
      <c r="L71" s="2" t="str">
        <f>VLOOKUP(J71,C71:$E$248,3,FALSE)</f>
        <v>XE25</v>
      </c>
      <c r="M71" s="2" t="str">
        <f t="shared" si="9"/>
        <v>"Estonia "</v>
      </c>
      <c r="S71" s="2" t="s">
        <v>78</v>
      </c>
      <c r="T71" s="2" t="s">
        <v>860</v>
      </c>
      <c r="U71" s="2" t="str">
        <f t="shared" si="11"/>
        <v>XSA</v>
      </c>
      <c r="V71" s="2" t="str">
        <f t="shared" si="12"/>
        <v>"French Polynesia"</v>
      </c>
      <c r="W71" s="2" t="s">
        <v>705</v>
      </c>
    </row>
    <row r="72" spans="1:23" hidden="1">
      <c r="A72" s="15" t="s">
        <v>623</v>
      </c>
      <c r="B72" s="15" t="s">
        <v>624</v>
      </c>
      <c r="C72" s="2" t="s">
        <v>71</v>
      </c>
      <c r="D72" s="2" t="s">
        <v>410</v>
      </c>
      <c r="E72" s="2" t="str">
        <f t="shared" si="10"/>
        <v>XAF</v>
      </c>
      <c r="G72" s="15"/>
      <c r="H72" s="15" t="str">
        <f t="shared" si="7"/>
        <v>.</v>
      </c>
      <c r="I72" s="2" t="str">
        <f t="shared" si="8"/>
        <v/>
      </c>
      <c r="J72" s="2" t="s">
        <v>71</v>
      </c>
      <c r="K72" s="2" t="s">
        <v>635</v>
      </c>
      <c r="L72" s="2" t="str">
        <f>VLOOKUP(J72,C72:$E$248,3,FALSE)</f>
        <v>XAF</v>
      </c>
      <c r="M72" s="2" t="str">
        <f t="shared" si="9"/>
        <v>"Ethiopia "</v>
      </c>
      <c r="S72" s="2" t="s">
        <v>80</v>
      </c>
      <c r="T72" s="2" t="s">
        <v>860</v>
      </c>
      <c r="U72" s="2" t="str">
        <f t="shared" si="11"/>
        <v>XAF</v>
      </c>
      <c r="V72" s="2" t="str">
        <f t="shared" si="12"/>
        <v>"Gabon"</v>
      </c>
      <c r="W72" s="2" t="s">
        <v>706</v>
      </c>
    </row>
    <row r="73" spans="1:23" hidden="1">
      <c r="A73" s="15" t="s">
        <v>602</v>
      </c>
      <c r="B73" s="15" t="s">
        <v>240</v>
      </c>
      <c r="C73" s="2" t="s">
        <v>75</v>
      </c>
      <c r="D73" s="2" t="s">
        <v>411</v>
      </c>
      <c r="E73" s="2" t="str">
        <f t="shared" si="10"/>
        <v>XE25</v>
      </c>
      <c r="G73" s="15"/>
      <c r="H73" s="15" t="str">
        <f t="shared" si="7"/>
        <v>.</v>
      </c>
      <c r="I73" s="2" t="str">
        <f t="shared" si="8"/>
        <v/>
      </c>
      <c r="J73" s="2" t="s">
        <v>75</v>
      </c>
      <c r="K73" s="2" t="s">
        <v>635</v>
      </c>
      <c r="L73" s="2" t="str">
        <f>VLOOKUP(J73,C73:$E$248,3,FALSE)</f>
        <v>XE25</v>
      </c>
      <c r="M73" s="2" t="str">
        <f t="shared" si="9"/>
        <v>"Finland "</v>
      </c>
      <c r="S73" s="2" t="s">
        <v>81</v>
      </c>
      <c r="T73" s="2" t="s">
        <v>860</v>
      </c>
      <c r="U73" s="2" t="str">
        <f t="shared" si="11"/>
        <v>XAF</v>
      </c>
      <c r="V73" s="2" t="str">
        <f t="shared" si="12"/>
        <v>"Gambia, The"</v>
      </c>
      <c r="W73" s="2" t="s">
        <v>707</v>
      </c>
    </row>
    <row r="74" spans="1:23">
      <c r="A74" s="15" t="s">
        <v>612</v>
      </c>
      <c r="B74" s="15" t="s">
        <v>613</v>
      </c>
      <c r="C74" s="2" t="s">
        <v>74</v>
      </c>
      <c r="D74" s="2" t="s">
        <v>412</v>
      </c>
      <c r="E74" s="2" t="str">
        <f t="shared" si="10"/>
        <v>XSA</v>
      </c>
      <c r="G74" s="15"/>
      <c r="H74" s="15" t="str">
        <f t="shared" si="7"/>
        <v>.</v>
      </c>
      <c r="I74" s="2" t="str">
        <f t="shared" si="8"/>
        <v/>
      </c>
      <c r="J74" s="2" t="s">
        <v>74</v>
      </c>
      <c r="K74" s="2" t="s">
        <v>635</v>
      </c>
      <c r="L74" s="2" t="str">
        <f>VLOOKUP(J74,C74:$E$248,3,FALSE)</f>
        <v>XSA</v>
      </c>
      <c r="M74" s="2" t="str">
        <f t="shared" si="9"/>
        <v>"Fiji "</v>
      </c>
      <c r="S74" s="2" t="s">
        <v>82</v>
      </c>
      <c r="T74" s="2" t="s">
        <v>860</v>
      </c>
      <c r="U74" s="2" t="str">
        <f t="shared" si="11"/>
        <v>CIS</v>
      </c>
      <c r="V74" s="2" t="str">
        <f t="shared" si="12"/>
        <v>"Georgia"</v>
      </c>
      <c r="W74" s="2" t="s">
        <v>708</v>
      </c>
    </row>
    <row r="75" spans="1:23" hidden="1">
      <c r="A75" s="15" t="s">
        <v>615</v>
      </c>
      <c r="B75" s="15" t="s">
        <v>616</v>
      </c>
      <c r="C75" s="2" t="s">
        <v>72</v>
      </c>
      <c r="D75" s="2" t="s">
        <v>413</v>
      </c>
      <c r="E75" s="2" t="str">
        <f t="shared" si="10"/>
        <v>XLM</v>
      </c>
      <c r="G75" s="15"/>
      <c r="H75" s="15" t="e">
        <f t="shared" si="7"/>
        <v>#N/A</v>
      </c>
      <c r="I75" s="2" t="str">
        <f t="shared" si="8"/>
        <v/>
      </c>
      <c r="J75" s="2" t="s">
        <v>72</v>
      </c>
      <c r="K75" s="2" t="s">
        <v>635</v>
      </c>
      <c r="L75" s="2" t="str">
        <f>VLOOKUP(J75,C75:$E$248,3,FALSE)</f>
        <v>XLM</v>
      </c>
      <c r="M75" s="2" t="str">
        <f t="shared" si="9"/>
        <v>"Falkland Islands (Malvinas) "</v>
      </c>
      <c r="S75" s="2" t="s">
        <v>83</v>
      </c>
      <c r="T75" s="2" t="s">
        <v>860</v>
      </c>
      <c r="U75" s="2" t="str">
        <f t="shared" si="11"/>
        <v>XE25</v>
      </c>
      <c r="V75" s="2" t="str">
        <f t="shared" si="12"/>
        <v>"Germany"</v>
      </c>
      <c r="W75" s="2" t="s">
        <v>709</v>
      </c>
    </row>
    <row r="76" spans="1:23" hidden="1">
      <c r="A76" s="15" t="s">
        <v>602</v>
      </c>
      <c r="B76" s="15" t="s">
        <v>240</v>
      </c>
      <c r="C76" s="2" t="s">
        <v>76</v>
      </c>
      <c r="D76" s="2" t="s">
        <v>414</v>
      </c>
      <c r="E76" s="2" t="str">
        <f t="shared" si="10"/>
        <v>XE25</v>
      </c>
      <c r="G76" s="15"/>
      <c r="H76" s="15" t="str">
        <f t="shared" si="7"/>
        <v>.</v>
      </c>
      <c r="I76" s="2" t="str">
        <f t="shared" si="8"/>
        <v/>
      </c>
      <c r="J76" s="2" t="s">
        <v>76</v>
      </c>
      <c r="K76" s="2" t="s">
        <v>635</v>
      </c>
      <c r="L76" s="2" t="str">
        <f>VLOOKUP(J76,C76:$E$248,3,FALSE)</f>
        <v>XE25</v>
      </c>
      <c r="M76" s="2" t="str">
        <f t="shared" si="9"/>
        <v>"France "</v>
      </c>
      <c r="S76" s="2" t="s">
        <v>84</v>
      </c>
      <c r="T76" s="2" t="s">
        <v>860</v>
      </c>
      <c r="U76" s="2" t="str">
        <f t="shared" si="11"/>
        <v>XAF</v>
      </c>
      <c r="V76" s="2" t="str">
        <f t="shared" si="12"/>
        <v>"Ghana"</v>
      </c>
      <c r="W76" s="2" t="s">
        <v>710</v>
      </c>
    </row>
    <row r="77" spans="1:23" hidden="1">
      <c r="A77" s="15" t="s">
        <v>603</v>
      </c>
      <c r="B77" s="15" t="s">
        <v>604</v>
      </c>
      <c r="C77" s="2" t="s">
        <v>73</v>
      </c>
      <c r="D77" s="2" t="s">
        <v>415</v>
      </c>
      <c r="E77" s="2" t="str">
        <f t="shared" si="10"/>
        <v>XER</v>
      </c>
      <c r="G77" s="15"/>
      <c r="H77" s="15" t="str">
        <f t="shared" si="7"/>
        <v>.</v>
      </c>
      <c r="I77" s="2" t="str">
        <f t="shared" si="8"/>
        <v/>
      </c>
      <c r="J77" s="2" t="s">
        <v>73</v>
      </c>
      <c r="K77" s="2" t="s">
        <v>635</v>
      </c>
      <c r="L77" s="2" t="str">
        <f>VLOOKUP(J77,C77:$E$248,3,FALSE)</f>
        <v>XER</v>
      </c>
      <c r="M77" s="2" t="str">
        <f t="shared" si="9"/>
        <v>"Faroe Islands "</v>
      </c>
      <c r="S77" s="2" t="s">
        <v>85</v>
      </c>
      <c r="T77" s="2" t="s">
        <v>860</v>
      </c>
      <c r="U77" s="2" t="str">
        <f t="shared" si="11"/>
        <v>XER</v>
      </c>
      <c r="V77" s="2" t="str">
        <f t="shared" si="12"/>
        <v>"Gibraltar"</v>
      </c>
      <c r="W77" s="2" t="s">
        <v>711</v>
      </c>
    </row>
    <row r="78" spans="1:23">
      <c r="A78" s="15" t="s">
        <v>612</v>
      </c>
      <c r="B78" s="15" t="s">
        <v>613</v>
      </c>
      <c r="C78" s="2" t="s">
        <v>142</v>
      </c>
      <c r="D78" s="2" t="s">
        <v>416</v>
      </c>
      <c r="E78" s="2" t="str">
        <f t="shared" si="10"/>
        <v>XSA</v>
      </c>
      <c r="G78" s="15"/>
      <c r="H78" s="15" t="str">
        <f t="shared" si="7"/>
        <v>.</v>
      </c>
      <c r="I78" s="2" t="str">
        <f t="shared" si="8"/>
        <v/>
      </c>
      <c r="J78" s="2" t="s">
        <v>142</v>
      </c>
      <c r="K78" s="2" t="s">
        <v>635</v>
      </c>
      <c r="L78" s="2" t="str">
        <f>VLOOKUP(J78,C78:$E$248,3,FALSE)</f>
        <v>XSA</v>
      </c>
      <c r="M78" s="2" t="str">
        <f t="shared" si="9"/>
        <v>"Micronesia, Federated States of "</v>
      </c>
      <c r="S78" s="2" t="s">
        <v>86</v>
      </c>
      <c r="T78" s="2" t="s">
        <v>860</v>
      </c>
      <c r="U78" s="2" t="str">
        <f t="shared" si="11"/>
        <v>XE25</v>
      </c>
      <c r="V78" s="2" t="str">
        <f t="shared" si="12"/>
        <v>"Greece"</v>
      </c>
      <c r="W78" s="2" t="s">
        <v>712</v>
      </c>
    </row>
    <row r="79" spans="1:23" hidden="1">
      <c r="A79" s="15" t="s">
        <v>623</v>
      </c>
      <c r="B79" s="15" t="s">
        <v>624</v>
      </c>
      <c r="C79" s="2" t="s">
        <v>80</v>
      </c>
      <c r="D79" s="2" t="s">
        <v>417</v>
      </c>
      <c r="E79" s="2" t="str">
        <f t="shared" si="10"/>
        <v>XAF</v>
      </c>
      <c r="G79" s="15"/>
      <c r="H79" s="15" t="str">
        <f t="shared" si="7"/>
        <v>.</v>
      </c>
      <c r="I79" s="2" t="str">
        <f t="shared" si="8"/>
        <v/>
      </c>
      <c r="J79" s="2" t="s">
        <v>80</v>
      </c>
      <c r="K79" s="2" t="s">
        <v>635</v>
      </c>
      <c r="L79" s="2" t="str">
        <f>VLOOKUP(J79,C79:$E$248,3,FALSE)</f>
        <v>XAF</v>
      </c>
      <c r="M79" s="2" t="str">
        <f t="shared" si="9"/>
        <v>"Gabon "</v>
      </c>
      <c r="S79" s="2" t="s">
        <v>87</v>
      </c>
      <c r="T79" s="2" t="s">
        <v>860</v>
      </c>
      <c r="U79" s="2" t="str">
        <f t="shared" si="11"/>
        <v>XLM</v>
      </c>
      <c r="V79" s="2" t="str">
        <f t="shared" si="12"/>
        <v>"Greenland"</v>
      </c>
      <c r="W79" s="2" t="s">
        <v>713</v>
      </c>
    </row>
    <row r="80" spans="1:23" hidden="1">
      <c r="A80" s="15" t="s">
        <v>602</v>
      </c>
      <c r="B80" s="15" t="s">
        <v>240</v>
      </c>
      <c r="C80" s="2" t="s">
        <v>225</v>
      </c>
      <c r="D80" s="2" t="s">
        <v>418</v>
      </c>
      <c r="E80" s="2" t="str">
        <f t="shared" si="10"/>
        <v>XE25</v>
      </c>
      <c r="G80" s="15"/>
      <c r="H80" s="15" t="str">
        <f t="shared" si="7"/>
        <v>.</v>
      </c>
      <c r="I80" s="2" t="str">
        <f t="shared" si="8"/>
        <v/>
      </c>
      <c r="J80" s="2" t="s">
        <v>225</v>
      </c>
      <c r="K80" s="2" t="s">
        <v>635</v>
      </c>
      <c r="L80" s="2" t="str">
        <f>VLOOKUP(J80,C80:$E$248,3,FALSE)</f>
        <v>XE25</v>
      </c>
      <c r="M80" s="2" t="str">
        <f t="shared" si="9"/>
        <v>"United Kingdom "</v>
      </c>
      <c r="S80" s="2" t="s">
        <v>88</v>
      </c>
      <c r="T80" s="2" t="s">
        <v>860</v>
      </c>
      <c r="U80" s="2" t="str">
        <f t="shared" si="11"/>
        <v>XLM</v>
      </c>
      <c r="V80" s="2" t="str">
        <f t="shared" si="12"/>
        <v>"Grenada"</v>
      </c>
      <c r="W80" s="2" t="s">
        <v>714</v>
      </c>
    </row>
    <row r="81" spans="1:23" hidden="1">
      <c r="A81" s="15" t="s">
        <v>617</v>
      </c>
      <c r="B81" s="15" t="s">
        <v>618</v>
      </c>
      <c r="C81" s="2" t="s">
        <v>82</v>
      </c>
      <c r="D81" s="2" t="s">
        <v>419</v>
      </c>
      <c r="E81" s="2" t="str">
        <f t="shared" si="10"/>
        <v>CIS</v>
      </c>
      <c r="G81" s="15"/>
      <c r="H81" s="15" t="str">
        <f t="shared" si="7"/>
        <v>.</v>
      </c>
      <c r="I81" s="2" t="str">
        <f t="shared" si="8"/>
        <v/>
      </c>
      <c r="J81" s="2" t="s">
        <v>82</v>
      </c>
      <c r="K81" s="2" t="s">
        <v>635</v>
      </c>
      <c r="L81" s="2" t="str">
        <f>VLOOKUP(J81,C81:$E$248,3,FALSE)</f>
        <v>CIS</v>
      </c>
      <c r="M81" s="2" t="str">
        <f t="shared" si="9"/>
        <v>"Georgia "</v>
      </c>
      <c r="S81" s="2" t="s">
        <v>90</v>
      </c>
      <c r="T81" s="2" t="s">
        <v>860</v>
      </c>
      <c r="U81" s="2" t="str">
        <f t="shared" si="11"/>
        <v>XSA</v>
      </c>
      <c r="V81" s="2" t="str">
        <f t="shared" si="12"/>
        <v>"Guam"</v>
      </c>
      <c r="W81" s="2" t="s">
        <v>715</v>
      </c>
    </row>
    <row r="82" spans="1:23" hidden="1">
      <c r="A82" s="15" t="e">
        <v>#N/A</v>
      </c>
      <c r="B82" s="15" t="e">
        <v>#N/A</v>
      </c>
      <c r="C82" s="2" t="s">
        <v>420</v>
      </c>
      <c r="D82" s="2" t="s">
        <v>421</v>
      </c>
      <c r="E82" s="2" t="e">
        <f t="shared" si="10"/>
        <v>#N/A</v>
      </c>
      <c r="G82" s="15"/>
      <c r="H82" s="15" t="e">
        <f t="shared" si="7"/>
        <v>#N/A</v>
      </c>
      <c r="I82" s="2" t="e">
        <f t="shared" si="8"/>
        <v>#N/A</v>
      </c>
      <c r="J82" s="2" t="s">
        <v>420</v>
      </c>
      <c r="K82" s="2" t="s">
        <v>635</v>
      </c>
      <c r="L82" s="2" t="e">
        <f>VLOOKUP(J82,C82:$E$248,3,FALSE)</f>
        <v>#N/A</v>
      </c>
      <c r="M82" s="2" t="str">
        <f t="shared" si="9"/>
        <v>"Guernsey "</v>
      </c>
      <c r="S82" s="2" t="s">
        <v>91</v>
      </c>
      <c r="T82" s="2" t="s">
        <v>860</v>
      </c>
      <c r="U82" s="2" t="str">
        <f t="shared" si="11"/>
        <v>XLM</v>
      </c>
      <c r="V82" s="2" t="str">
        <f t="shared" si="12"/>
        <v>"Guatemala"</v>
      </c>
      <c r="W82" s="2" t="s">
        <v>716</v>
      </c>
    </row>
    <row r="83" spans="1:23" hidden="1">
      <c r="A83" s="15" t="s">
        <v>623</v>
      </c>
      <c r="B83" s="15" t="s">
        <v>624</v>
      </c>
      <c r="C83" s="2" t="s">
        <v>84</v>
      </c>
      <c r="D83" s="2" t="s">
        <v>422</v>
      </c>
      <c r="E83" s="2" t="str">
        <f t="shared" si="10"/>
        <v>XAF</v>
      </c>
      <c r="G83" s="15"/>
      <c r="H83" s="15" t="str">
        <f t="shared" si="7"/>
        <v>.</v>
      </c>
      <c r="I83" s="2" t="str">
        <f t="shared" si="8"/>
        <v/>
      </c>
      <c r="J83" s="2" t="s">
        <v>84</v>
      </c>
      <c r="K83" s="2" t="s">
        <v>635</v>
      </c>
      <c r="L83" s="2" t="str">
        <f>VLOOKUP(J83,C83:$E$248,3,FALSE)</f>
        <v>XAF</v>
      </c>
      <c r="M83" s="2" t="str">
        <f t="shared" si="9"/>
        <v>"Ghana "</v>
      </c>
      <c r="S83" s="2" t="s">
        <v>92</v>
      </c>
      <c r="T83" s="2" t="s">
        <v>860</v>
      </c>
      <c r="U83" s="2" t="str">
        <f t="shared" si="11"/>
        <v>XAF</v>
      </c>
      <c r="V83" s="2" t="str">
        <f t="shared" si="12"/>
        <v>"Guinea"</v>
      </c>
      <c r="W83" s="2" t="s">
        <v>717</v>
      </c>
    </row>
    <row r="84" spans="1:23" hidden="1">
      <c r="A84" s="15" t="s">
        <v>603</v>
      </c>
      <c r="B84" s="15" t="s">
        <v>604</v>
      </c>
      <c r="C84" s="2" t="s">
        <v>85</v>
      </c>
      <c r="D84" s="2" t="s">
        <v>423</v>
      </c>
      <c r="E84" s="2" t="str">
        <f t="shared" si="10"/>
        <v>XER</v>
      </c>
      <c r="G84" s="15"/>
      <c r="H84" s="15" t="str">
        <f t="shared" si="7"/>
        <v>.</v>
      </c>
      <c r="I84" s="2" t="str">
        <f t="shared" si="8"/>
        <v/>
      </c>
      <c r="J84" s="2" t="s">
        <v>85</v>
      </c>
      <c r="K84" s="2" t="s">
        <v>635</v>
      </c>
      <c r="L84" s="2" t="str">
        <f>VLOOKUP(J84,C84:$E$248,3,FALSE)</f>
        <v>XER</v>
      </c>
      <c r="M84" s="2" t="str">
        <f t="shared" si="9"/>
        <v>"Gibraltar "</v>
      </c>
      <c r="S84" s="2" t="s">
        <v>93</v>
      </c>
      <c r="T84" s="2" t="s">
        <v>860</v>
      </c>
      <c r="U84" s="2" t="str">
        <f t="shared" si="11"/>
        <v>XAF</v>
      </c>
      <c r="V84" s="2" t="str">
        <f t="shared" si="12"/>
        <v>"Guinea-Bissau"</v>
      </c>
      <c r="W84" s="2" t="s">
        <v>718</v>
      </c>
    </row>
    <row r="85" spans="1:23" hidden="1">
      <c r="A85" s="15" t="s">
        <v>623</v>
      </c>
      <c r="B85" s="15" t="s">
        <v>624</v>
      </c>
      <c r="C85" s="2" t="s">
        <v>92</v>
      </c>
      <c r="D85" s="2" t="s">
        <v>424</v>
      </c>
      <c r="E85" s="2" t="str">
        <f t="shared" si="10"/>
        <v>XAF</v>
      </c>
      <c r="G85" s="15"/>
      <c r="H85" s="15" t="str">
        <f t="shared" si="7"/>
        <v>.</v>
      </c>
      <c r="I85" s="2" t="str">
        <f t="shared" si="8"/>
        <v/>
      </c>
      <c r="J85" s="2" t="s">
        <v>92</v>
      </c>
      <c r="K85" s="2" t="s">
        <v>635</v>
      </c>
      <c r="L85" s="2" t="str">
        <f>VLOOKUP(J85,C85:$E$248,3,FALSE)</f>
        <v>XAF</v>
      </c>
      <c r="M85" s="2" t="str">
        <f t="shared" si="9"/>
        <v>"Guinea "</v>
      </c>
      <c r="S85" s="2" t="s">
        <v>94</v>
      </c>
      <c r="T85" s="2" t="s">
        <v>860</v>
      </c>
      <c r="U85" s="2" t="str">
        <f t="shared" si="11"/>
        <v>XLM</v>
      </c>
      <c r="V85" s="2" t="str">
        <f t="shared" si="12"/>
        <v>"Guyana"</v>
      </c>
      <c r="W85" s="2" t="s">
        <v>719</v>
      </c>
    </row>
    <row r="86" spans="1:23" hidden="1">
      <c r="A86" s="15" t="s">
        <v>615</v>
      </c>
      <c r="B86" s="15" t="s">
        <v>616</v>
      </c>
      <c r="C86" s="2" t="s">
        <v>89</v>
      </c>
      <c r="D86" s="2" t="s">
        <v>425</v>
      </c>
      <c r="E86" s="2" t="str">
        <f t="shared" si="10"/>
        <v>XLM</v>
      </c>
      <c r="G86" s="15"/>
      <c r="H86" s="15" t="e">
        <f t="shared" si="7"/>
        <v>#N/A</v>
      </c>
      <c r="I86" s="2" t="str">
        <f t="shared" si="8"/>
        <v/>
      </c>
      <c r="J86" s="2" t="s">
        <v>89</v>
      </c>
      <c r="K86" s="2" t="s">
        <v>635</v>
      </c>
      <c r="L86" s="2" t="str">
        <f>VLOOKUP(J86,C86:$E$248,3,FALSE)</f>
        <v>XLM</v>
      </c>
      <c r="M86" s="2" t="str">
        <f t="shared" si="9"/>
        <v>"Guadeloupe "</v>
      </c>
      <c r="S86" s="2" t="s">
        <v>95</v>
      </c>
      <c r="T86" s="2" t="s">
        <v>860</v>
      </c>
      <c r="U86" s="2" t="str">
        <f t="shared" si="11"/>
        <v>XLM</v>
      </c>
      <c r="V86" s="2" t="str">
        <f t="shared" si="12"/>
        <v>"Haiti"</v>
      </c>
      <c r="W86" s="2" t="s">
        <v>720</v>
      </c>
    </row>
    <row r="87" spans="1:23" hidden="1">
      <c r="A87" s="15" t="s">
        <v>623</v>
      </c>
      <c r="B87" s="15" t="s">
        <v>624</v>
      </c>
      <c r="C87" s="2" t="s">
        <v>81</v>
      </c>
      <c r="D87" s="2" t="s">
        <v>426</v>
      </c>
      <c r="E87" s="2" t="str">
        <f t="shared" si="10"/>
        <v>XAF</v>
      </c>
      <c r="G87" s="15"/>
      <c r="H87" s="15" t="str">
        <f t="shared" si="7"/>
        <v>.</v>
      </c>
      <c r="I87" s="2" t="str">
        <f t="shared" si="8"/>
        <v/>
      </c>
      <c r="J87" s="2" t="s">
        <v>81</v>
      </c>
      <c r="K87" s="2" t="s">
        <v>635</v>
      </c>
      <c r="L87" s="2" t="str">
        <f>VLOOKUP(J87,C87:$E$248,3,FALSE)</f>
        <v>XAF</v>
      </c>
      <c r="M87" s="2" t="str">
        <f t="shared" si="9"/>
        <v>"Gambia "</v>
      </c>
      <c r="S87" s="2" t="s">
        <v>98</v>
      </c>
      <c r="T87" s="2" t="s">
        <v>860</v>
      </c>
      <c r="U87" s="2" t="str">
        <f t="shared" si="11"/>
        <v>XLM</v>
      </c>
      <c r="V87" s="2" t="str">
        <f t="shared" si="12"/>
        <v>"Honduras"</v>
      </c>
      <c r="W87" s="2" t="s">
        <v>721</v>
      </c>
    </row>
    <row r="88" spans="1:23" hidden="1">
      <c r="A88" s="15" t="s">
        <v>623</v>
      </c>
      <c r="B88" s="15" t="s">
        <v>624</v>
      </c>
      <c r="C88" s="2" t="s">
        <v>93</v>
      </c>
      <c r="D88" s="2" t="s">
        <v>427</v>
      </c>
      <c r="E88" s="2" t="str">
        <f t="shared" si="10"/>
        <v>XAF</v>
      </c>
      <c r="G88" s="15"/>
      <c r="H88" s="15" t="str">
        <f t="shared" si="7"/>
        <v>.</v>
      </c>
      <c r="I88" s="2" t="s">
        <v>636</v>
      </c>
      <c r="J88" s="2" t="s">
        <v>93</v>
      </c>
      <c r="K88" s="2" t="s">
        <v>635</v>
      </c>
      <c r="L88" s="2" t="str">
        <f>VLOOKUP(J88,C88:$E$248,3,FALSE)</f>
        <v>XAF</v>
      </c>
      <c r="M88" s="2" t="str">
        <f t="shared" si="9"/>
        <v>"Guinea-Bissau "</v>
      </c>
      <c r="S88" s="2" t="s">
        <v>99</v>
      </c>
      <c r="T88" s="2" t="s">
        <v>860</v>
      </c>
      <c r="U88" s="2" t="str">
        <f t="shared" si="11"/>
        <v>CHN</v>
      </c>
      <c r="V88" s="2" t="str">
        <f t="shared" si="12"/>
        <v>"Hong Kong SAR, China"</v>
      </c>
      <c r="W88" s="2" t="s">
        <v>722</v>
      </c>
    </row>
    <row r="89" spans="1:23" hidden="1">
      <c r="A89" s="15" t="s">
        <v>623</v>
      </c>
      <c r="B89" s="15" t="s">
        <v>624</v>
      </c>
      <c r="C89" s="2" t="s">
        <v>68</v>
      </c>
      <c r="D89" s="2" t="s">
        <v>428</v>
      </c>
      <c r="E89" s="2" t="str">
        <f t="shared" si="10"/>
        <v>XAF</v>
      </c>
      <c r="G89" s="15"/>
      <c r="H89" s="15" t="str">
        <f t="shared" si="7"/>
        <v>.</v>
      </c>
      <c r="I89" s="2" t="str">
        <f t="shared" ref="I89:I117" si="13">IF(L89="#N/A","*","")</f>
        <v/>
      </c>
      <c r="J89" s="2" t="s">
        <v>68</v>
      </c>
      <c r="K89" s="2" t="s">
        <v>635</v>
      </c>
      <c r="L89" s="2" t="str">
        <f>VLOOKUP(J89,C89:$E$248,3,FALSE)</f>
        <v>XAF</v>
      </c>
      <c r="M89" s="2" t="str">
        <f t="shared" si="9"/>
        <v>"Equatorial Guinea "</v>
      </c>
      <c r="S89" s="2" t="s">
        <v>100</v>
      </c>
      <c r="T89" s="2" t="s">
        <v>860</v>
      </c>
      <c r="U89" s="2" t="str">
        <f t="shared" si="11"/>
        <v>XE25</v>
      </c>
      <c r="V89" s="2" t="str">
        <f t="shared" si="12"/>
        <v>"Hungary"</v>
      </c>
      <c r="W89" s="2" t="s">
        <v>723</v>
      </c>
    </row>
    <row r="90" spans="1:23" hidden="1">
      <c r="A90" s="15" t="s">
        <v>602</v>
      </c>
      <c r="B90" s="15" t="s">
        <v>240</v>
      </c>
      <c r="C90" s="2" t="s">
        <v>86</v>
      </c>
      <c r="D90" s="2" t="s">
        <v>429</v>
      </c>
      <c r="E90" s="2" t="str">
        <f t="shared" si="10"/>
        <v>XE25</v>
      </c>
      <c r="G90" s="15"/>
      <c r="H90" s="15" t="str">
        <f t="shared" si="7"/>
        <v>.</v>
      </c>
      <c r="I90" s="2" t="str">
        <f t="shared" si="13"/>
        <v/>
      </c>
      <c r="J90" s="2" t="s">
        <v>86</v>
      </c>
      <c r="K90" s="2" t="s">
        <v>635</v>
      </c>
      <c r="L90" s="2" t="str">
        <f>VLOOKUP(J90,C90:$E$248,3,FALSE)</f>
        <v>XE25</v>
      </c>
      <c r="M90" s="2" t="str">
        <f t="shared" si="9"/>
        <v>"Greece "</v>
      </c>
      <c r="S90" s="2" t="s">
        <v>101</v>
      </c>
      <c r="T90" s="2" t="s">
        <v>860</v>
      </c>
      <c r="U90" s="2" t="str">
        <f t="shared" si="11"/>
        <v>XER</v>
      </c>
      <c r="V90" s="2" t="str">
        <f t="shared" si="12"/>
        <v>"Iceland"</v>
      </c>
      <c r="W90" s="2" t="s">
        <v>724</v>
      </c>
    </row>
    <row r="91" spans="1:23" hidden="1">
      <c r="A91" s="15" t="s">
        <v>615</v>
      </c>
      <c r="B91" s="15" t="s">
        <v>616</v>
      </c>
      <c r="C91" s="2" t="s">
        <v>88</v>
      </c>
      <c r="D91" s="2" t="s">
        <v>430</v>
      </c>
      <c r="E91" s="2" t="str">
        <f t="shared" si="10"/>
        <v>XLM</v>
      </c>
      <c r="G91" s="15"/>
      <c r="H91" s="15" t="str">
        <f t="shared" si="7"/>
        <v>.</v>
      </c>
      <c r="I91" s="2" t="str">
        <f t="shared" si="13"/>
        <v/>
      </c>
      <c r="J91" s="2" t="s">
        <v>88</v>
      </c>
      <c r="K91" s="2" t="s">
        <v>635</v>
      </c>
      <c r="L91" s="2" t="str">
        <f>VLOOKUP(J91,C91:$E$248,3,FALSE)</f>
        <v>XLM</v>
      </c>
      <c r="M91" s="2" t="str">
        <f t="shared" si="9"/>
        <v>"Grenada "</v>
      </c>
      <c r="S91" s="2" t="s">
        <v>102</v>
      </c>
      <c r="T91" s="2" t="s">
        <v>860</v>
      </c>
      <c r="U91" s="2" t="str">
        <f t="shared" si="11"/>
        <v>IND</v>
      </c>
      <c r="V91" s="2" t="str">
        <f t="shared" si="12"/>
        <v>"India"</v>
      </c>
      <c r="W91" s="2" t="s">
        <v>609</v>
      </c>
    </row>
    <row r="92" spans="1:23" hidden="1">
      <c r="A92" s="15" t="s">
        <v>615</v>
      </c>
      <c r="B92" s="15" t="s">
        <v>616</v>
      </c>
      <c r="C92" s="2" t="s">
        <v>87</v>
      </c>
      <c r="D92" s="2" t="s">
        <v>431</v>
      </c>
      <c r="E92" s="2" t="str">
        <f t="shared" si="10"/>
        <v>XLM</v>
      </c>
      <c r="G92" s="15"/>
      <c r="H92" s="15" t="str">
        <f t="shared" si="7"/>
        <v>.</v>
      </c>
      <c r="I92" s="2" t="str">
        <f t="shared" si="13"/>
        <v/>
      </c>
      <c r="J92" s="2" t="s">
        <v>87</v>
      </c>
      <c r="K92" s="2" t="s">
        <v>635</v>
      </c>
      <c r="L92" s="2" t="str">
        <f>VLOOKUP(J92,C92:$E$248,3,FALSE)</f>
        <v>XLM</v>
      </c>
      <c r="M92" s="2" t="str">
        <f t="shared" si="9"/>
        <v>"Greenland "</v>
      </c>
      <c r="S92" s="2" t="s">
        <v>103</v>
      </c>
      <c r="T92" s="2" t="s">
        <v>860</v>
      </c>
      <c r="U92" s="2" t="str">
        <f t="shared" si="11"/>
        <v>XSE</v>
      </c>
      <c r="V92" s="2" t="str">
        <f t="shared" si="12"/>
        <v>"Indonesia"</v>
      </c>
      <c r="W92" s="2" t="s">
        <v>725</v>
      </c>
    </row>
    <row r="93" spans="1:23" hidden="1">
      <c r="A93" s="15" t="s">
        <v>615</v>
      </c>
      <c r="B93" s="15" t="s">
        <v>616</v>
      </c>
      <c r="C93" s="2" t="s">
        <v>91</v>
      </c>
      <c r="D93" s="2" t="s">
        <v>432</v>
      </c>
      <c r="E93" s="2" t="str">
        <f t="shared" si="10"/>
        <v>XLM</v>
      </c>
      <c r="G93" s="15"/>
      <c r="H93" s="15" t="str">
        <f t="shared" si="7"/>
        <v>.</v>
      </c>
      <c r="I93" s="2" t="str">
        <f t="shared" si="13"/>
        <v/>
      </c>
      <c r="J93" s="2" t="s">
        <v>91</v>
      </c>
      <c r="K93" s="2" t="s">
        <v>635</v>
      </c>
      <c r="L93" s="2" t="str">
        <f>VLOOKUP(J93,C93:$E$248,3,FALSE)</f>
        <v>XLM</v>
      </c>
      <c r="M93" s="2" t="str">
        <f t="shared" si="9"/>
        <v>"Guatemala "</v>
      </c>
      <c r="S93" s="2" t="s">
        <v>104</v>
      </c>
      <c r="T93" s="2" t="s">
        <v>860</v>
      </c>
      <c r="U93" s="2" t="str">
        <f t="shared" si="11"/>
        <v>XME</v>
      </c>
      <c r="V93" s="2" t="str">
        <f t="shared" si="12"/>
        <v>"Iran, Islamic Rep."</v>
      </c>
      <c r="W93" s="2" t="s">
        <v>726</v>
      </c>
    </row>
    <row r="94" spans="1:23" hidden="1">
      <c r="A94" s="15" t="s">
        <v>615</v>
      </c>
      <c r="B94" s="15" t="s">
        <v>616</v>
      </c>
      <c r="C94" s="2" t="s">
        <v>77</v>
      </c>
      <c r="D94" s="2" t="s">
        <v>433</v>
      </c>
      <c r="E94" s="2" t="str">
        <f t="shared" si="10"/>
        <v>XLM</v>
      </c>
      <c r="G94" s="15"/>
      <c r="H94" s="15" t="e">
        <f t="shared" si="7"/>
        <v>#N/A</v>
      </c>
      <c r="I94" s="2" t="str">
        <f t="shared" si="13"/>
        <v/>
      </c>
      <c r="J94" s="2" t="s">
        <v>77</v>
      </c>
      <c r="K94" s="2" t="s">
        <v>635</v>
      </c>
      <c r="L94" s="2" t="str">
        <f>VLOOKUP(J94,C94:$E$248,3,FALSE)</f>
        <v>XLM</v>
      </c>
      <c r="M94" s="2" t="str">
        <f t="shared" si="9"/>
        <v>"French Guiana "</v>
      </c>
      <c r="S94" s="2" t="s">
        <v>105</v>
      </c>
      <c r="T94" s="2" t="s">
        <v>860</v>
      </c>
      <c r="U94" s="2" t="str">
        <f t="shared" si="11"/>
        <v>XME</v>
      </c>
      <c r="V94" s="2" t="str">
        <f t="shared" si="12"/>
        <v>"Iraq"</v>
      </c>
      <c r="W94" s="2" t="s">
        <v>727</v>
      </c>
    </row>
    <row r="95" spans="1:23">
      <c r="A95" s="15" t="s">
        <v>612</v>
      </c>
      <c r="B95" s="15" t="s">
        <v>613</v>
      </c>
      <c r="C95" s="2" t="s">
        <v>90</v>
      </c>
      <c r="D95" s="2" t="s">
        <v>434</v>
      </c>
      <c r="E95" s="2" t="str">
        <f t="shared" si="10"/>
        <v>XSA</v>
      </c>
      <c r="G95" s="15"/>
      <c r="H95" s="15" t="str">
        <f t="shared" si="7"/>
        <v>.</v>
      </c>
      <c r="I95" s="2" t="str">
        <f t="shared" si="13"/>
        <v/>
      </c>
      <c r="J95" s="2" t="s">
        <v>90</v>
      </c>
      <c r="K95" s="2" t="s">
        <v>635</v>
      </c>
      <c r="L95" s="2" t="str">
        <f>VLOOKUP(J95,C95:$E$248,3,FALSE)</f>
        <v>XSA</v>
      </c>
      <c r="M95" s="2" t="str">
        <f t="shared" si="9"/>
        <v>"Guam "</v>
      </c>
      <c r="S95" s="2" t="s">
        <v>106</v>
      </c>
      <c r="T95" s="2" t="s">
        <v>860</v>
      </c>
      <c r="U95" s="2" t="str">
        <f t="shared" si="11"/>
        <v>XE25</v>
      </c>
      <c r="V95" s="2" t="str">
        <f t="shared" si="12"/>
        <v>"Ireland"</v>
      </c>
      <c r="W95" s="2" t="s">
        <v>728</v>
      </c>
    </row>
    <row r="96" spans="1:23" hidden="1">
      <c r="A96" s="15" t="s">
        <v>615</v>
      </c>
      <c r="B96" s="15" t="s">
        <v>616</v>
      </c>
      <c r="C96" s="2" t="s">
        <v>94</v>
      </c>
      <c r="D96" s="2" t="s">
        <v>435</v>
      </c>
      <c r="E96" s="2" t="str">
        <f t="shared" si="10"/>
        <v>XLM</v>
      </c>
      <c r="G96" s="15"/>
      <c r="H96" s="15" t="str">
        <f t="shared" si="7"/>
        <v>.</v>
      </c>
      <c r="I96" s="2" t="str">
        <f t="shared" si="13"/>
        <v/>
      </c>
      <c r="J96" s="2" t="s">
        <v>94</v>
      </c>
      <c r="K96" s="2" t="s">
        <v>635</v>
      </c>
      <c r="L96" s="2" t="str">
        <f>VLOOKUP(J96,C96:$E$248,3,FALSE)</f>
        <v>XLM</v>
      </c>
      <c r="M96" s="2" t="str">
        <f t="shared" si="9"/>
        <v>"Guyana "</v>
      </c>
      <c r="S96" s="2" t="s">
        <v>443</v>
      </c>
      <c r="T96" s="2" t="s">
        <v>860</v>
      </c>
      <c r="U96" s="2" t="s">
        <v>861</v>
      </c>
      <c r="V96" s="2" t="str">
        <f t="shared" si="12"/>
        <v>"Isle of Man"</v>
      </c>
      <c r="W96" s="2" t="s">
        <v>729</v>
      </c>
    </row>
    <row r="97" spans="1:23" hidden="1">
      <c r="A97" s="15" t="s">
        <v>46</v>
      </c>
      <c r="B97" s="15" t="s">
        <v>608</v>
      </c>
      <c r="C97" s="2" t="s">
        <v>99</v>
      </c>
      <c r="D97" s="2" t="s">
        <v>436</v>
      </c>
      <c r="E97" s="2" t="str">
        <f t="shared" si="10"/>
        <v>CHN</v>
      </c>
      <c r="G97" s="15"/>
      <c r="H97" s="15" t="str">
        <f t="shared" si="7"/>
        <v>.</v>
      </c>
      <c r="I97" s="2" t="str">
        <f t="shared" si="13"/>
        <v/>
      </c>
      <c r="J97" s="2" t="s">
        <v>99</v>
      </c>
      <c r="K97" s="2" t="s">
        <v>635</v>
      </c>
      <c r="L97" s="2" t="str">
        <f>VLOOKUP(J97,C97:$E$248,3,FALSE)</f>
        <v>CHN</v>
      </c>
      <c r="M97" s="2" t="str">
        <f t="shared" si="9"/>
        <v>"Hong Kong "</v>
      </c>
      <c r="S97" s="2" t="s">
        <v>107</v>
      </c>
      <c r="T97" s="2" t="s">
        <v>860</v>
      </c>
      <c r="U97" s="2" t="str">
        <f t="shared" si="11"/>
        <v>XME</v>
      </c>
      <c r="V97" s="2" t="str">
        <f t="shared" si="12"/>
        <v>"Israel"</v>
      </c>
      <c r="W97" s="2" t="s">
        <v>730</v>
      </c>
    </row>
    <row r="98" spans="1:23">
      <c r="A98" s="15" t="s">
        <v>612</v>
      </c>
      <c r="B98" s="15" t="s">
        <v>613</v>
      </c>
      <c r="C98" s="2" t="s">
        <v>96</v>
      </c>
      <c r="D98" s="2" t="s">
        <v>437</v>
      </c>
      <c r="E98" s="2" t="str">
        <f t="shared" si="10"/>
        <v>XSA</v>
      </c>
      <c r="G98" s="15"/>
      <c r="H98" s="15" t="e">
        <f t="shared" si="7"/>
        <v>#N/A</v>
      </c>
      <c r="I98" s="2" t="str">
        <f t="shared" si="13"/>
        <v/>
      </c>
      <c r="J98" s="2" t="s">
        <v>96</v>
      </c>
      <c r="K98" s="2" t="s">
        <v>635</v>
      </c>
      <c r="L98" s="2" t="str">
        <f>VLOOKUP(J98,C98:$E$248,3,FALSE)</f>
        <v>XSA</v>
      </c>
      <c r="M98" s="2" t="str">
        <f t="shared" si="9"/>
        <v>"Heard Island and McDonald Islands "</v>
      </c>
      <c r="S98" s="2" t="s">
        <v>108</v>
      </c>
      <c r="T98" s="2" t="s">
        <v>860</v>
      </c>
      <c r="U98" s="2" t="str">
        <f t="shared" si="11"/>
        <v>XE25</v>
      </c>
      <c r="V98" s="2" t="str">
        <f t="shared" si="12"/>
        <v>"Italy"</v>
      </c>
      <c r="W98" s="2" t="s">
        <v>731</v>
      </c>
    </row>
    <row r="99" spans="1:23" hidden="1">
      <c r="A99" s="15" t="s">
        <v>615</v>
      </c>
      <c r="B99" s="15" t="s">
        <v>616</v>
      </c>
      <c r="C99" s="2" t="s">
        <v>98</v>
      </c>
      <c r="D99" s="2" t="s">
        <v>438</v>
      </c>
      <c r="E99" s="2" t="str">
        <f t="shared" si="10"/>
        <v>XLM</v>
      </c>
      <c r="G99" s="15"/>
      <c r="H99" s="15" t="str">
        <f t="shared" si="7"/>
        <v>.</v>
      </c>
      <c r="I99" s="2" t="str">
        <f t="shared" si="13"/>
        <v/>
      </c>
      <c r="J99" s="2" t="s">
        <v>98</v>
      </c>
      <c r="K99" s="2" t="s">
        <v>635</v>
      </c>
      <c r="L99" s="2" t="str">
        <f>VLOOKUP(J99,C99:$E$248,3,FALSE)</f>
        <v>XLM</v>
      </c>
      <c r="M99" s="2" t="str">
        <f t="shared" si="9"/>
        <v>"Honduras "</v>
      </c>
      <c r="S99" s="2" t="s">
        <v>109</v>
      </c>
      <c r="T99" s="2" t="s">
        <v>860</v>
      </c>
      <c r="U99" s="2" t="str">
        <f t="shared" si="11"/>
        <v>XLM</v>
      </c>
      <c r="V99" s="2" t="str">
        <f t="shared" si="12"/>
        <v>"Jamaica"</v>
      </c>
      <c r="W99" s="2" t="s">
        <v>732</v>
      </c>
    </row>
    <row r="100" spans="1:23" hidden="1">
      <c r="A100" s="15" t="s">
        <v>603</v>
      </c>
      <c r="B100" s="15" t="s">
        <v>604</v>
      </c>
      <c r="C100" s="2" t="s">
        <v>56</v>
      </c>
      <c r="D100" s="2" t="s">
        <v>439</v>
      </c>
      <c r="E100" s="2" t="str">
        <f t="shared" si="10"/>
        <v>XER</v>
      </c>
      <c r="G100" s="15"/>
      <c r="H100" s="15" t="str">
        <f t="shared" si="7"/>
        <v>.</v>
      </c>
      <c r="I100" s="2" t="str">
        <f t="shared" si="13"/>
        <v/>
      </c>
      <c r="J100" s="2" t="s">
        <v>56</v>
      </c>
      <c r="K100" s="2" t="s">
        <v>635</v>
      </c>
      <c r="L100" s="2" t="str">
        <f>VLOOKUP(J100,C100:$E$248,3,FALSE)</f>
        <v>XER</v>
      </c>
      <c r="M100" s="2" t="str">
        <f t="shared" si="9"/>
        <v>"Croatia "</v>
      </c>
      <c r="S100" s="2" t="s">
        <v>110</v>
      </c>
      <c r="T100" s="2" t="s">
        <v>860</v>
      </c>
      <c r="U100" s="2" t="str">
        <f t="shared" si="11"/>
        <v>JPN</v>
      </c>
      <c r="V100" s="2" t="str">
        <f t="shared" si="12"/>
        <v>"Japan"</v>
      </c>
      <c r="W100" s="2" t="s">
        <v>600</v>
      </c>
    </row>
    <row r="101" spans="1:23" hidden="1">
      <c r="A101" s="15" t="s">
        <v>615</v>
      </c>
      <c r="B101" s="15" t="s">
        <v>616</v>
      </c>
      <c r="C101" s="2" t="s">
        <v>95</v>
      </c>
      <c r="D101" s="2" t="s">
        <v>440</v>
      </c>
      <c r="E101" s="2" t="str">
        <f t="shared" si="10"/>
        <v>XLM</v>
      </c>
      <c r="G101" s="15"/>
      <c r="H101" s="15" t="str">
        <f t="shared" si="7"/>
        <v>.</v>
      </c>
      <c r="I101" s="2" t="str">
        <f t="shared" si="13"/>
        <v/>
      </c>
      <c r="J101" s="2" t="s">
        <v>95</v>
      </c>
      <c r="K101" s="2" t="s">
        <v>635</v>
      </c>
      <c r="L101" s="2" t="str">
        <f>VLOOKUP(J101,C101:$E$248,3,FALSE)</f>
        <v>XLM</v>
      </c>
      <c r="M101" s="2" t="str">
        <f t="shared" si="9"/>
        <v>"Haiti "</v>
      </c>
      <c r="S101" s="2" t="s">
        <v>111</v>
      </c>
      <c r="T101" s="2" t="s">
        <v>860</v>
      </c>
      <c r="U101" s="2" t="str">
        <f t="shared" si="11"/>
        <v>XME</v>
      </c>
      <c r="V101" s="2" t="str">
        <f t="shared" si="12"/>
        <v>"Jordan"</v>
      </c>
      <c r="W101" s="2" t="s">
        <v>733</v>
      </c>
    </row>
    <row r="102" spans="1:23" hidden="1">
      <c r="A102" s="15" t="s">
        <v>602</v>
      </c>
      <c r="B102" s="15" t="s">
        <v>240</v>
      </c>
      <c r="C102" s="2" t="s">
        <v>100</v>
      </c>
      <c r="D102" s="2" t="s">
        <v>441</v>
      </c>
      <c r="E102" s="2" t="str">
        <f t="shared" si="10"/>
        <v>XE25</v>
      </c>
      <c r="G102" s="15"/>
      <c r="H102" s="15" t="str">
        <f t="shared" si="7"/>
        <v>.</v>
      </c>
      <c r="I102" s="2" t="str">
        <f t="shared" si="13"/>
        <v/>
      </c>
      <c r="J102" s="2" t="s">
        <v>100</v>
      </c>
      <c r="K102" s="2" t="s">
        <v>635</v>
      </c>
      <c r="L102" s="2" t="str">
        <f>VLOOKUP(J102,C102:$E$248,3,FALSE)</f>
        <v>XE25</v>
      </c>
      <c r="M102" s="2" t="str">
        <f t="shared" si="9"/>
        <v>"Hungary "</v>
      </c>
      <c r="S102" s="2" t="s">
        <v>112</v>
      </c>
      <c r="T102" s="2" t="s">
        <v>860</v>
      </c>
      <c r="U102" s="2" t="str">
        <f t="shared" si="11"/>
        <v>CIS</v>
      </c>
      <c r="V102" s="2" t="str">
        <f t="shared" si="12"/>
        <v>"Kazakhstan"</v>
      </c>
      <c r="W102" s="2" t="s">
        <v>734</v>
      </c>
    </row>
    <row r="103" spans="1:23" hidden="1">
      <c r="A103" s="15" t="s">
        <v>610</v>
      </c>
      <c r="B103" s="15" t="s">
        <v>611</v>
      </c>
      <c r="C103" s="2" t="s">
        <v>103</v>
      </c>
      <c r="D103" s="2" t="s">
        <v>442</v>
      </c>
      <c r="E103" s="2" t="str">
        <f t="shared" si="10"/>
        <v>XSE</v>
      </c>
      <c r="G103" s="15"/>
      <c r="H103" s="15" t="str">
        <f t="shared" si="7"/>
        <v>.</v>
      </c>
      <c r="I103" s="2" t="str">
        <f t="shared" si="13"/>
        <v/>
      </c>
      <c r="J103" s="2" t="s">
        <v>103</v>
      </c>
      <c r="K103" s="2" t="s">
        <v>635</v>
      </c>
      <c r="L103" s="2" t="str">
        <f>VLOOKUP(J103,C103:$E$248,3,FALSE)</f>
        <v>XSE</v>
      </c>
      <c r="M103" s="2" t="str">
        <f t="shared" si="9"/>
        <v>"Indonesia "</v>
      </c>
      <c r="S103" s="2" t="s">
        <v>113</v>
      </c>
      <c r="T103" s="2" t="s">
        <v>860</v>
      </c>
      <c r="U103" s="2" t="str">
        <f t="shared" si="11"/>
        <v>XAF</v>
      </c>
      <c r="V103" s="2" t="str">
        <f t="shared" si="12"/>
        <v>"Kenya"</v>
      </c>
      <c r="W103" s="2" t="s">
        <v>735</v>
      </c>
    </row>
    <row r="104" spans="1:23" hidden="1">
      <c r="A104" s="15" t="e">
        <v>#N/A</v>
      </c>
      <c r="B104" s="15" t="e">
        <v>#N/A</v>
      </c>
      <c r="C104" s="2" t="s">
        <v>443</v>
      </c>
      <c r="D104" s="2" t="s">
        <v>444</v>
      </c>
      <c r="E104" s="2" t="e">
        <f t="shared" si="10"/>
        <v>#N/A</v>
      </c>
      <c r="G104" s="15"/>
      <c r="H104" s="15" t="str">
        <f t="shared" si="7"/>
        <v>.</v>
      </c>
      <c r="I104" s="2" t="e">
        <f t="shared" si="13"/>
        <v>#N/A</v>
      </c>
      <c r="J104" s="2" t="s">
        <v>443</v>
      </c>
      <c r="K104" s="2" t="s">
        <v>635</v>
      </c>
      <c r="L104" s="2" t="e">
        <f>VLOOKUP(J104,C104:$E$248,3,FALSE)</f>
        <v>#N/A</v>
      </c>
      <c r="M104" s="2" t="str">
        <f t="shared" si="9"/>
        <v>"Isle of Man "</v>
      </c>
      <c r="S104" s="2" t="s">
        <v>114</v>
      </c>
      <c r="T104" s="2" t="s">
        <v>860</v>
      </c>
      <c r="U104" s="2" t="str">
        <f t="shared" si="11"/>
        <v>XSA</v>
      </c>
      <c r="V104" s="2" t="str">
        <f t="shared" si="12"/>
        <v>"Kiribati"</v>
      </c>
      <c r="W104" s="2" t="s">
        <v>736</v>
      </c>
    </row>
    <row r="105" spans="1:23" hidden="1">
      <c r="A105" s="15" t="s">
        <v>102</v>
      </c>
      <c r="B105" s="15" t="s">
        <v>609</v>
      </c>
      <c r="C105" s="2" t="s">
        <v>102</v>
      </c>
      <c r="D105" s="2" t="s">
        <v>445</v>
      </c>
      <c r="E105" s="2" t="str">
        <f t="shared" si="10"/>
        <v>IND</v>
      </c>
      <c r="G105" s="15"/>
      <c r="H105" s="15" t="str">
        <f t="shared" si="7"/>
        <v>.</v>
      </c>
      <c r="I105" s="2" t="str">
        <f t="shared" si="13"/>
        <v/>
      </c>
      <c r="J105" s="2" t="s">
        <v>102</v>
      </c>
      <c r="K105" s="2" t="s">
        <v>635</v>
      </c>
      <c r="L105" s="2" t="str">
        <f>VLOOKUP(J105,C105:$E$248,3,FALSE)</f>
        <v>IND</v>
      </c>
      <c r="M105" s="2" t="str">
        <f t="shared" si="9"/>
        <v>"India "</v>
      </c>
      <c r="S105" s="2" t="s">
        <v>115</v>
      </c>
      <c r="T105" s="2" t="s">
        <v>860</v>
      </c>
      <c r="U105" s="2" t="str">
        <f t="shared" si="11"/>
        <v>XSE</v>
      </c>
      <c r="V105" s="2" t="str">
        <f t="shared" si="12"/>
        <v>"Korea, Dem. People窶冱 Rep."</v>
      </c>
      <c r="W105" s="2" t="s">
        <v>737</v>
      </c>
    </row>
    <row r="106" spans="1:23">
      <c r="A106" s="15" t="s">
        <v>612</v>
      </c>
      <c r="B106" s="15" t="s">
        <v>613</v>
      </c>
      <c r="C106" s="2" t="s">
        <v>33</v>
      </c>
      <c r="D106" s="2" t="s">
        <v>446</v>
      </c>
      <c r="E106" s="2" t="str">
        <f t="shared" si="10"/>
        <v>XSA</v>
      </c>
      <c r="G106" s="15"/>
      <c r="H106" s="15" t="e">
        <f t="shared" si="7"/>
        <v>#N/A</v>
      </c>
      <c r="I106" s="2" t="str">
        <f t="shared" si="13"/>
        <v/>
      </c>
      <c r="J106" s="2" t="s">
        <v>33</v>
      </c>
      <c r="K106" s="2" t="s">
        <v>635</v>
      </c>
      <c r="L106" s="2" t="str">
        <f>VLOOKUP(J106,C106:$E$248,3,FALSE)</f>
        <v>XSA</v>
      </c>
      <c r="M106" s="2" t="str">
        <f t="shared" si="9"/>
        <v>"British Indian Ocean Territory "</v>
      </c>
      <c r="S106" s="2" t="s">
        <v>116</v>
      </c>
      <c r="T106" s="2" t="s">
        <v>860</v>
      </c>
      <c r="U106" s="2" t="str">
        <f t="shared" si="11"/>
        <v>XSE</v>
      </c>
      <c r="V106" s="2" t="str">
        <f t="shared" si="12"/>
        <v>"Korea, Rep."</v>
      </c>
      <c r="W106" s="2" t="s">
        <v>738</v>
      </c>
    </row>
    <row r="107" spans="1:23" hidden="1">
      <c r="A107" s="15" t="s">
        <v>602</v>
      </c>
      <c r="B107" s="15" t="s">
        <v>240</v>
      </c>
      <c r="C107" s="2" t="s">
        <v>106</v>
      </c>
      <c r="D107" s="2" t="s">
        <v>447</v>
      </c>
      <c r="E107" s="2" t="str">
        <f t="shared" si="10"/>
        <v>XE25</v>
      </c>
      <c r="G107" s="15"/>
      <c r="H107" s="15" t="str">
        <f t="shared" si="7"/>
        <v>.</v>
      </c>
      <c r="I107" s="2" t="str">
        <f t="shared" si="13"/>
        <v/>
      </c>
      <c r="J107" s="2" t="s">
        <v>106</v>
      </c>
      <c r="K107" s="2" t="s">
        <v>635</v>
      </c>
      <c r="L107" s="2" t="str">
        <f>VLOOKUP(J107,C107:$E$248,3,FALSE)</f>
        <v>XE25</v>
      </c>
      <c r="M107" s="2" t="str">
        <f t="shared" si="9"/>
        <v>"Ireland "</v>
      </c>
      <c r="S107" s="2" t="s">
        <v>739</v>
      </c>
      <c r="T107" s="2" t="s">
        <v>860</v>
      </c>
      <c r="U107" s="2" t="s">
        <v>861</v>
      </c>
      <c r="V107" s="2" t="str">
        <f t="shared" si="12"/>
        <v>"Kosovo"</v>
      </c>
      <c r="W107" s="2" t="s">
        <v>740</v>
      </c>
    </row>
    <row r="108" spans="1:23" hidden="1">
      <c r="A108" s="15" t="s">
        <v>619</v>
      </c>
      <c r="B108" s="15" t="s">
        <v>620</v>
      </c>
      <c r="C108" s="2" t="s">
        <v>104</v>
      </c>
      <c r="D108" s="2" t="s">
        <v>448</v>
      </c>
      <c r="E108" s="2" t="str">
        <f t="shared" si="10"/>
        <v>XME</v>
      </c>
      <c r="G108" s="15"/>
      <c r="H108" s="15" t="str">
        <f t="shared" si="7"/>
        <v>.</v>
      </c>
      <c r="I108" s="2" t="str">
        <f t="shared" si="13"/>
        <v/>
      </c>
      <c r="J108" s="2" t="s">
        <v>104</v>
      </c>
      <c r="K108" s="2" t="s">
        <v>635</v>
      </c>
      <c r="L108" s="2" t="str">
        <f>VLOOKUP(J108,C108:$E$248,3,FALSE)</f>
        <v>XME</v>
      </c>
      <c r="M108" s="2" t="str">
        <f t="shared" si="9"/>
        <v>"Iran, Islamic Republic of "</v>
      </c>
      <c r="S108" s="2" t="s">
        <v>117</v>
      </c>
      <c r="T108" s="2" t="s">
        <v>860</v>
      </c>
      <c r="U108" s="2" t="str">
        <f t="shared" si="11"/>
        <v>XME</v>
      </c>
      <c r="V108" s="2" t="str">
        <f t="shared" si="12"/>
        <v>"Kuwait"</v>
      </c>
      <c r="W108" s="2" t="s">
        <v>741</v>
      </c>
    </row>
    <row r="109" spans="1:23" hidden="1">
      <c r="A109" s="15" t="s">
        <v>619</v>
      </c>
      <c r="B109" s="15" t="s">
        <v>620</v>
      </c>
      <c r="C109" s="2" t="s">
        <v>105</v>
      </c>
      <c r="D109" s="2" t="s">
        <v>449</v>
      </c>
      <c r="E109" s="2" t="str">
        <f t="shared" si="10"/>
        <v>XME</v>
      </c>
      <c r="G109" s="15"/>
      <c r="H109" s="15" t="str">
        <f t="shared" si="7"/>
        <v>.</v>
      </c>
      <c r="I109" s="2" t="str">
        <f t="shared" si="13"/>
        <v/>
      </c>
      <c r="J109" s="2" t="s">
        <v>105</v>
      </c>
      <c r="K109" s="2" t="s">
        <v>635</v>
      </c>
      <c r="L109" s="2" t="str">
        <f>VLOOKUP(J109,C109:$E$248,3,FALSE)</f>
        <v>XME</v>
      </c>
      <c r="M109" s="2" t="str">
        <f t="shared" si="9"/>
        <v>"Iraq "</v>
      </c>
      <c r="S109" s="2" t="s">
        <v>118</v>
      </c>
      <c r="T109" s="2" t="s">
        <v>860</v>
      </c>
      <c r="U109" s="2" t="str">
        <f t="shared" si="11"/>
        <v>CIS</v>
      </c>
      <c r="V109" s="2" t="str">
        <f t="shared" si="12"/>
        <v>"Kyrgyz Republic"</v>
      </c>
      <c r="W109" s="2" t="s">
        <v>742</v>
      </c>
    </row>
    <row r="110" spans="1:23" hidden="1">
      <c r="A110" s="15" t="s">
        <v>603</v>
      </c>
      <c r="B110" s="15" t="s">
        <v>604</v>
      </c>
      <c r="C110" s="2" t="s">
        <v>101</v>
      </c>
      <c r="D110" s="2" t="s">
        <v>450</v>
      </c>
      <c r="E110" s="2" t="str">
        <f t="shared" si="10"/>
        <v>XER</v>
      </c>
      <c r="G110" s="15"/>
      <c r="H110" s="15" t="str">
        <f t="shared" si="7"/>
        <v>.</v>
      </c>
      <c r="I110" s="2" t="str">
        <f t="shared" si="13"/>
        <v/>
      </c>
      <c r="J110" s="2" t="s">
        <v>101</v>
      </c>
      <c r="K110" s="2" t="s">
        <v>635</v>
      </c>
      <c r="L110" s="2" t="str">
        <f>VLOOKUP(J110,C110:$E$248,3,FALSE)</f>
        <v>XER</v>
      </c>
      <c r="M110" s="2" t="str">
        <f t="shared" si="9"/>
        <v>"Iceland "</v>
      </c>
      <c r="S110" s="2" t="s">
        <v>119</v>
      </c>
      <c r="T110" s="2" t="s">
        <v>860</v>
      </c>
      <c r="U110" s="2" t="str">
        <f t="shared" si="11"/>
        <v>XSE</v>
      </c>
      <c r="V110" s="2" t="str">
        <f t="shared" si="12"/>
        <v>"Lao PDR"</v>
      </c>
      <c r="W110" s="2" t="s">
        <v>743</v>
      </c>
    </row>
    <row r="111" spans="1:23" hidden="1">
      <c r="A111" s="15" t="s">
        <v>619</v>
      </c>
      <c r="B111" s="15" t="s">
        <v>620</v>
      </c>
      <c r="C111" s="2" t="s">
        <v>107</v>
      </c>
      <c r="D111" s="2" t="s">
        <v>451</v>
      </c>
      <c r="E111" s="2" t="str">
        <f t="shared" si="10"/>
        <v>XME</v>
      </c>
      <c r="G111" s="15"/>
      <c r="H111" s="15" t="str">
        <f t="shared" si="7"/>
        <v>.</v>
      </c>
      <c r="I111" s="2" t="str">
        <f t="shared" si="13"/>
        <v/>
      </c>
      <c r="J111" s="2" t="s">
        <v>107</v>
      </c>
      <c r="K111" s="2" t="s">
        <v>635</v>
      </c>
      <c r="L111" s="2" t="str">
        <f>VLOOKUP(J111,C111:$E$248,3,FALSE)</f>
        <v>XME</v>
      </c>
      <c r="M111" s="2" t="str">
        <f t="shared" si="9"/>
        <v>"Israel "</v>
      </c>
      <c r="S111" s="2" t="s">
        <v>120</v>
      </c>
      <c r="T111" s="2" t="s">
        <v>860</v>
      </c>
      <c r="U111" s="2" t="str">
        <f t="shared" si="11"/>
        <v>XE25</v>
      </c>
      <c r="V111" s="2" t="str">
        <f t="shared" si="12"/>
        <v>"Latvia"</v>
      </c>
      <c r="W111" s="2" t="s">
        <v>744</v>
      </c>
    </row>
    <row r="112" spans="1:23" hidden="1">
      <c r="A112" s="15" t="s">
        <v>602</v>
      </c>
      <c r="B112" s="15" t="s">
        <v>240</v>
      </c>
      <c r="C112" s="2" t="s">
        <v>108</v>
      </c>
      <c r="D112" s="2" t="s">
        <v>452</v>
      </c>
      <c r="E112" s="2" t="str">
        <f t="shared" si="10"/>
        <v>XE25</v>
      </c>
      <c r="G112" s="15"/>
      <c r="H112" s="15" t="str">
        <f t="shared" si="7"/>
        <v>.</v>
      </c>
      <c r="I112" s="2" t="str">
        <f t="shared" si="13"/>
        <v/>
      </c>
      <c r="J112" s="2" t="s">
        <v>108</v>
      </c>
      <c r="K112" s="2" t="s">
        <v>635</v>
      </c>
      <c r="L112" s="2" t="str">
        <f>VLOOKUP(J112,C112:$E$248,3,FALSE)</f>
        <v>XE25</v>
      </c>
      <c r="M112" s="2" t="str">
        <f t="shared" si="9"/>
        <v>"Italy "</v>
      </c>
      <c r="S112" s="2" t="s">
        <v>121</v>
      </c>
      <c r="T112" s="2" t="s">
        <v>860</v>
      </c>
      <c r="U112" s="2" t="str">
        <f t="shared" si="11"/>
        <v>XME</v>
      </c>
      <c r="V112" s="2" t="str">
        <f t="shared" si="12"/>
        <v>"Lebanon"</v>
      </c>
      <c r="W112" s="2" t="s">
        <v>745</v>
      </c>
    </row>
    <row r="113" spans="1:23" hidden="1">
      <c r="A113" s="15" t="s">
        <v>615</v>
      </c>
      <c r="B113" s="15" t="s">
        <v>616</v>
      </c>
      <c r="C113" s="2" t="s">
        <v>109</v>
      </c>
      <c r="D113" s="2" t="s">
        <v>453</v>
      </c>
      <c r="E113" s="2" t="str">
        <f t="shared" si="10"/>
        <v>XLM</v>
      </c>
      <c r="G113" s="15"/>
      <c r="H113" s="15" t="str">
        <f t="shared" si="7"/>
        <v>.</v>
      </c>
      <c r="I113" s="2" t="str">
        <f t="shared" si="13"/>
        <v/>
      </c>
      <c r="J113" s="2" t="s">
        <v>109</v>
      </c>
      <c r="K113" s="2" t="s">
        <v>635</v>
      </c>
      <c r="L113" s="2" t="str">
        <f>VLOOKUP(J113,C113:$E$248,3,FALSE)</f>
        <v>XLM</v>
      </c>
      <c r="M113" s="2" t="str">
        <f t="shared" si="9"/>
        <v>"Jamaica "</v>
      </c>
      <c r="S113" s="2" t="s">
        <v>122</v>
      </c>
      <c r="T113" s="2" t="s">
        <v>860</v>
      </c>
      <c r="U113" s="2" t="str">
        <f t="shared" si="11"/>
        <v>XAF</v>
      </c>
      <c r="V113" s="2" t="str">
        <f t="shared" si="12"/>
        <v>"Lesotho"</v>
      </c>
      <c r="W113" s="2" t="s">
        <v>746</v>
      </c>
    </row>
    <row r="114" spans="1:23" hidden="1">
      <c r="A114" s="15" t="e">
        <v>#N/A</v>
      </c>
      <c r="B114" s="15" t="e">
        <v>#N/A</v>
      </c>
      <c r="C114" s="2" t="s">
        <v>454</v>
      </c>
      <c r="D114" s="2" t="s">
        <v>455</v>
      </c>
      <c r="E114" s="2" t="e">
        <f t="shared" si="10"/>
        <v>#N/A</v>
      </c>
      <c r="G114" s="15"/>
      <c r="H114" s="15" t="e">
        <f t="shared" si="7"/>
        <v>#N/A</v>
      </c>
      <c r="I114" s="2" t="e">
        <f t="shared" si="13"/>
        <v>#N/A</v>
      </c>
      <c r="J114" s="2" t="s">
        <v>454</v>
      </c>
      <c r="K114" s="2" t="s">
        <v>635</v>
      </c>
      <c r="L114" s="2" t="e">
        <f>VLOOKUP(J114,C114:$E$248,3,FALSE)</f>
        <v>#N/A</v>
      </c>
      <c r="M114" s="2" t="str">
        <f t="shared" si="9"/>
        <v>"Jersey "</v>
      </c>
      <c r="S114" s="2" t="s">
        <v>123</v>
      </c>
      <c r="T114" s="2" t="s">
        <v>860</v>
      </c>
      <c r="U114" s="2" t="str">
        <f t="shared" si="11"/>
        <v>XAF</v>
      </c>
      <c r="V114" s="2" t="str">
        <f t="shared" si="12"/>
        <v>"Liberia"</v>
      </c>
      <c r="W114" s="2" t="s">
        <v>747</v>
      </c>
    </row>
    <row r="115" spans="1:23" hidden="1">
      <c r="A115" s="15" t="s">
        <v>619</v>
      </c>
      <c r="B115" s="15" t="s">
        <v>620</v>
      </c>
      <c r="C115" s="2" t="s">
        <v>111</v>
      </c>
      <c r="D115" s="2" t="s">
        <v>456</v>
      </c>
      <c r="E115" s="2" t="str">
        <f t="shared" si="10"/>
        <v>XME</v>
      </c>
      <c r="G115" s="15"/>
      <c r="H115" s="15" t="str">
        <f t="shared" si="7"/>
        <v>.</v>
      </c>
      <c r="I115" s="2" t="str">
        <f t="shared" si="13"/>
        <v/>
      </c>
      <c r="J115" s="2" t="s">
        <v>111</v>
      </c>
      <c r="K115" s="2" t="s">
        <v>635</v>
      </c>
      <c r="L115" s="2" t="str">
        <f>VLOOKUP(J115,C115:$E$248,3,FALSE)</f>
        <v>XME</v>
      </c>
      <c r="M115" s="2" t="str">
        <f t="shared" si="9"/>
        <v>"Jordan "</v>
      </c>
      <c r="S115" s="2" t="s">
        <v>124</v>
      </c>
      <c r="T115" s="2" t="s">
        <v>860</v>
      </c>
      <c r="U115" s="2" t="str">
        <f t="shared" si="11"/>
        <v>XNF</v>
      </c>
      <c r="V115" s="2" t="str">
        <f t="shared" si="12"/>
        <v>"Libya"</v>
      </c>
      <c r="W115" s="2" t="s">
        <v>748</v>
      </c>
    </row>
    <row r="116" spans="1:23" hidden="1">
      <c r="A116" s="15" t="s">
        <v>110</v>
      </c>
      <c r="B116" s="15" t="s">
        <v>600</v>
      </c>
      <c r="C116" s="2" t="s">
        <v>110</v>
      </c>
      <c r="D116" s="2" t="s">
        <v>457</v>
      </c>
      <c r="E116" s="2" t="str">
        <f t="shared" si="10"/>
        <v>JPN</v>
      </c>
      <c r="G116" s="15"/>
      <c r="H116" s="15" t="str">
        <f t="shared" si="7"/>
        <v>.</v>
      </c>
      <c r="I116" s="2" t="str">
        <f t="shared" si="13"/>
        <v/>
      </c>
      <c r="J116" s="2" t="s">
        <v>110</v>
      </c>
      <c r="K116" s="2" t="s">
        <v>635</v>
      </c>
      <c r="L116" s="2" t="str">
        <f>VLOOKUP(J116,C116:$E$248,3,FALSE)</f>
        <v>JPN</v>
      </c>
      <c r="M116" s="2" t="str">
        <f t="shared" si="9"/>
        <v>"Japan "</v>
      </c>
      <c r="S116" s="2" t="s">
        <v>125</v>
      </c>
      <c r="T116" s="2" t="s">
        <v>860</v>
      </c>
      <c r="U116" s="2" t="str">
        <f t="shared" si="11"/>
        <v>XER</v>
      </c>
      <c r="V116" s="2" t="str">
        <f t="shared" si="12"/>
        <v>"Liechtenstein"</v>
      </c>
      <c r="W116" s="2" t="s">
        <v>749</v>
      </c>
    </row>
    <row r="117" spans="1:23" hidden="1">
      <c r="A117" s="15" t="s">
        <v>617</v>
      </c>
      <c r="B117" s="15" t="s">
        <v>618</v>
      </c>
      <c r="C117" s="2" t="s">
        <v>112</v>
      </c>
      <c r="D117" s="2" t="s">
        <v>458</v>
      </c>
      <c r="E117" s="2" t="str">
        <f t="shared" si="10"/>
        <v>CIS</v>
      </c>
      <c r="G117" s="15"/>
      <c r="H117" s="15" t="str">
        <f t="shared" si="7"/>
        <v>.</v>
      </c>
      <c r="I117" s="2" t="str">
        <f t="shared" si="13"/>
        <v/>
      </c>
      <c r="J117" s="2" t="s">
        <v>112</v>
      </c>
      <c r="K117" s="2" t="s">
        <v>635</v>
      </c>
      <c r="L117" s="2" t="str">
        <f>VLOOKUP(J117,C117:$E$248,3,FALSE)</f>
        <v>CIS</v>
      </c>
      <c r="M117" s="2" t="str">
        <f t="shared" si="9"/>
        <v>"Kazakhstan "</v>
      </c>
      <c r="S117" s="2" t="s">
        <v>126</v>
      </c>
      <c r="T117" s="2" t="s">
        <v>860</v>
      </c>
      <c r="U117" s="2" t="str">
        <f t="shared" si="11"/>
        <v>XE25</v>
      </c>
      <c r="V117" s="2" t="str">
        <f t="shared" si="12"/>
        <v>"Lithuania"</v>
      </c>
      <c r="W117" s="2" t="s">
        <v>750</v>
      </c>
    </row>
    <row r="118" spans="1:23" hidden="1">
      <c r="A118" s="15" t="s">
        <v>623</v>
      </c>
      <c r="B118" s="15" t="s">
        <v>624</v>
      </c>
      <c r="C118" s="2" t="s">
        <v>113</v>
      </c>
      <c r="D118" s="2" t="s">
        <v>459</v>
      </c>
      <c r="E118" s="2" t="str">
        <f t="shared" si="10"/>
        <v>XAF</v>
      </c>
      <c r="G118" s="15"/>
      <c r="H118" s="15" t="str">
        <f t="shared" si="7"/>
        <v>.</v>
      </c>
      <c r="I118" s="2" t="s">
        <v>636</v>
      </c>
      <c r="J118" s="2" t="s">
        <v>113</v>
      </c>
      <c r="K118" s="2" t="s">
        <v>635</v>
      </c>
      <c r="L118" s="2" t="str">
        <f>VLOOKUP(J118,C118:$E$248,3,FALSE)</f>
        <v>XAF</v>
      </c>
      <c r="M118" s="2" t="str">
        <f t="shared" si="9"/>
        <v>"Kenya "</v>
      </c>
      <c r="S118" s="2" t="s">
        <v>127</v>
      </c>
      <c r="T118" s="2" t="s">
        <v>860</v>
      </c>
      <c r="U118" s="2" t="str">
        <f t="shared" si="11"/>
        <v>XE25</v>
      </c>
      <c r="V118" s="2" t="str">
        <f t="shared" si="12"/>
        <v>"Luxembourg"</v>
      </c>
      <c r="W118" s="2" t="s">
        <v>751</v>
      </c>
    </row>
    <row r="119" spans="1:23" hidden="1">
      <c r="A119" s="15" t="s">
        <v>617</v>
      </c>
      <c r="B119" s="15" t="s">
        <v>618</v>
      </c>
      <c r="C119" s="2" t="s">
        <v>118</v>
      </c>
      <c r="D119" s="2" t="s">
        <v>460</v>
      </c>
      <c r="E119" s="2" t="str">
        <f t="shared" si="10"/>
        <v>CIS</v>
      </c>
      <c r="G119" s="15"/>
      <c r="H119" s="15" t="str">
        <f t="shared" si="7"/>
        <v>.</v>
      </c>
      <c r="I119" s="2" t="s">
        <v>636</v>
      </c>
      <c r="J119" s="2" t="s">
        <v>118</v>
      </c>
      <c r="K119" s="2" t="s">
        <v>635</v>
      </c>
      <c r="L119" s="2" t="str">
        <f>VLOOKUP(J119,C119:$E$248,3,FALSE)</f>
        <v>CIS</v>
      </c>
      <c r="M119" s="2" t="str">
        <f t="shared" si="9"/>
        <v>"Kyrgyzstan "</v>
      </c>
      <c r="S119" s="2" t="s">
        <v>128</v>
      </c>
      <c r="T119" s="2" t="s">
        <v>860</v>
      </c>
      <c r="U119" s="2" t="str">
        <f t="shared" si="11"/>
        <v>XSA</v>
      </c>
      <c r="V119" s="2" t="str">
        <f t="shared" si="12"/>
        <v>"Macao SAR, China"</v>
      </c>
      <c r="W119" s="2" t="s">
        <v>752</v>
      </c>
    </row>
    <row r="120" spans="1:23" hidden="1">
      <c r="A120" s="15" t="s">
        <v>610</v>
      </c>
      <c r="B120" s="15" t="s">
        <v>611</v>
      </c>
      <c r="C120" s="2" t="s">
        <v>38</v>
      </c>
      <c r="D120" s="2" t="s">
        <v>461</v>
      </c>
      <c r="E120" s="2" t="str">
        <f t="shared" si="10"/>
        <v>XSE</v>
      </c>
      <c r="G120" s="15"/>
      <c r="H120" s="15" t="str">
        <f t="shared" si="7"/>
        <v>.</v>
      </c>
      <c r="I120" s="2" t="str">
        <f t="shared" ref="I120:I160" si="14">IF(L120="#N/A","*","")</f>
        <v/>
      </c>
      <c r="J120" s="2" t="s">
        <v>38</v>
      </c>
      <c r="K120" s="2" t="s">
        <v>635</v>
      </c>
      <c r="L120" s="2" t="str">
        <f>VLOOKUP(J120,C120:$E$248,3,FALSE)</f>
        <v>XSE</v>
      </c>
      <c r="M120" s="2" t="str">
        <f t="shared" si="9"/>
        <v>"Cambodia "</v>
      </c>
      <c r="S120" s="2" t="s">
        <v>130</v>
      </c>
      <c r="T120" s="2" t="s">
        <v>860</v>
      </c>
      <c r="U120" s="2" t="str">
        <f t="shared" si="11"/>
        <v>XAF</v>
      </c>
      <c r="V120" s="2" t="str">
        <f t="shared" si="12"/>
        <v>"Madagascar"</v>
      </c>
      <c r="W120" s="2" t="s">
        <v>753</v>
      </c>
    </row>
    <row r="121" spans="1:23">
      <c r="A121" s="15" t="s">
        <v>612</v>
      </c>
      <c r="B121" s="15" t="s">
        <v>613</v>
      </c>
      <c r="C121" s="2" t="s">
        <v>114</v>
      </c>
      <c r="D121" s="2" t="s">
        <v>462</v>
      </c>
      <c r="E121" s="2" t="str">
        <f t="shared" si="10"/>
        <v>XSA</v>
      </c>
      <c r="G121" s="15"/>
      <c r="H121" s="15" t="str">
        <f t="shared" si="7"/>
        <v>.</v>
      </c>
      <c r="I121" s="2" t="str">
        <f t="shared" si="14"/>
        <v/>
      </c>
      <c r="J121" s="2" t="s">
        <v>114</v>
      </c>
      <c r="K121" s="2" t="s">
        <v>635</v>
      </c>
      <c r="L121" s="2" t="str">
        <f>VLOOKUP(J121,C121:$E$248,3,FALSE)</f>
        <v>XSA</v>
      </c>
      <c r="M121" s="2" t="str">
        <f t="shared" si="9"/>
        <v>"Kiribati "</v>
      </c>
      <c r="S121" s="2" t="s">
        <v>131</v>
      </c>
      <c r="T121" s="2" t="s">
        <v>860</v>
      </c>
      <c r="U121" s="2" t="str">
        <f t="shared" si="11"/>
        <v>XAF</v>
      </c>
      <c r="V121" s="2" t="str">
        <f t="shared" si="12"/>
        <v>"Malawi"</v>
      </c>
      <c r="W121" s="2" t="s">
        <v>754</v>
      </c>
    </row>
    <row r="122" spans="1:23" hidden="1">
      <c r="A122" s="15" t="s">
        <v>615</v>
      </c>
      <c r="B122" s="15" t="s">
        <v>616</v>
      </c>
      <c r="C122" s="2" t="s">
        <v>182</v>
      </c>
      <c r="D122" s="2" t="s">
        <v>463</v>
      </c>
      <c r="E122" s="2" t="str">
        <f t="shared" si="10"/>
        <v>XLM</v>
      </c>
      <c r="G122" s="15"/>
      <c r="H122" s="15" t="str">
        <f t="shared" si="7"/>
        <v>.</v>
      </c>
      <c r="I122" s="2" t="str">
        <f t="shared" si="14"/>
        <v/>
      </c>
      <c r="J122" s="2" t="s">
        <v>182</v>
      </c>
      <c r="K122" s="2" t="s">
        <v>635</v>
      </c>
      <c r="L122" s="2" t="str">
        <f>VLOOKUP(J122,C122:$E$248,3,FALSE)</f>
        <v>XLM</v>
      </c>
      <c r="M122" s="2" t="str">
        <f t="shared" si="9"/>
        <v>"Saint Kitts and Nevis "</v>
      </c>
      <c r="S122" s="2" t="s">
        <v>132</v>
      </c>
      <c r="T122" s="2" t="s">
        <v>860</v>
      </c>
      <c r="U122" s="2" t="str">
        <f t="shared" si="11"/>
        <v>XSE</v>
      </c>
      <c r="V122" s="2" t="str">
        <f t="shared" si="12"/>
        <v>"Malaysia"</v>
      </c>
      <c r="W122" s="2" t="s">
        <v>755</v>
      </c>
    </row>
    <row r="123" spans="1:23" hidden="1">
      <c r="A123" s="15" t="s">
        <v>610</v>
      </c>
      <c r="B123" s="15" t="s">
        <v>611</v>
      </c>
      <c r="C123" s="2" t="s">
        <v>116</v>
      </c>
      <c r="D123" s="2" t="s">
        <v>464</v>
      </c>
      <c r="E123" s="2" t="str">
        <f t="shared" si="10"/>
        <v>XSE</v>
      </c>
      <c r="G123" s="15"/>
      <c r="H123" s="15" t="str">
        <f t="shared" si="7"/>
        <v>.</v>
      </c>
      <c r="I123" s="2" t="str">
        <f t="shared" si="14"/>
        <v/>
      </c>
      <c r="J123" s="2" t="s">
        <v>116</v>
      </c>
      <c r="K123" s="2" t="s">
        <v>635</v>
      </c>
      <c r="L123" s="2" t="str">
        <f>VLOOKUP(J123,C123:$E$248,3,FALSE)</f>
        <v>XSE</v>
      </c>
      <c r="M123" s="2" t="str">
        <f t="shared" si="9"/>
        <v>"Korea, Republic of "</v>
      </c>
      <c r="S123" s="2" t="s">
        <v>133</v>
      </c>
      <c r="T123" s="2" t="s">
        <v>860</v>
      </c>
      <c r="U123" s="2" t="str">
        <f t="shared" si="11"/>
        <v>XSA</v>
      </c>
      <c r="V123" s="2" t="str">
        <f t="shared" si="12"/>
        <v>"Maldives"</v>
      </c>
      <c r="W123" s="2" t="s">
        <v>756</v>
      </c>
    </row>
    <row r="124" spans="1:23" hidden="1">
      <c r="A124" s="15" t="s">
        <v>619</v>
      </c>
      <c r="B124" s="15" t="s">
        <v>620</v>
      </c>
      <c r="C124" s="2" t="s">
        <v>117</v>
      </c>
      <c r="D124" s="2" t="s">
        <v>465</v>
      </c>
      <c r="E124" s="2" t="str">
        <f t="shared" si="10"/>
        <v>XME</v>
      </c>
      <c r="G124" s="15"/>
      <c r="H124" s="15" t="str">
        <f t="shared" si="7"/>
        <v>.</v>
      </c>
      <c r="I124" s="2" t="str">
        <f t="shared" si="14"/>
        <v/>
      </c>
      <c r="J124" s="2" t="s">
        <v>117</v>
      </c>
      <c r="K124" s="2" t="s">
        <v>635</v>
      </c>
      <c r="L124" s="2" t="str">
        <f>VLOOKUP(J124,C124:$E$248,3,FALSE)</f>
        <v>XME</v>
      </c>
      <c r="M124" s="2" t="str">
        <f t="shared" si="9"/>
        <v>"Kuwait "</v>
      </c>
      <c r="S124" s="2" t="s">
        <v>134</v>
      </c>
      <c r="T124" s="2" t="s">
        <v>860</v>
      </c>
      <c r="U124" s="2" t="str">
        <f t="shared" si="11"/>
        <v>XAF</v>
      </c>
      <c r="V124" s="2" t="str">
        <f t="shared" si="12"/>
        <v>"Mali"</v>
      </c>
      <c r="W124" s="2" t="s">
        <v>757</v>
      </c>
    </row>
    <row r="125" spans="1:23" hidden="1">
      <c r="A125" s="15" t="s">
        <v>610</v>
      </c>
      <c r="B125" s="15" t="s">
        <v>611</v>
      </c>
      <c r="C125" s="2" t="s">
        <v>119</v>
      </c>
      <c r="D125" s="2" t="s">
        <v>466</v>
      </c>
      <c r="E125" s="2" t="str">
        <f t="shared" si="10"/>
        <v>XSE</v>
      </c>
      <c r="G125" s="15"/>
      <c r="H125" s="15" t="str">
        <f t="shared" si="7"/>
        <v>.</v>
      </c>
      <c r="I125" s="2" t="str">
        <f t="shared" si="14"/>
        <v/>
      </c>
      <c r="J125" s="2" t="s">
        <v>119</v>
      </c>
      <c r="K125" s="2" t="s">
        <v>635</v>
      </c>
      <c r="L125" s="2" t="str">
        <f>VLOOKUP(J125,C125:$E$248,3,FALSE)</f>
        <v>XSE</v>
      </c>
      <c r="M125" s="2" t="str">
        <f t="shared" si="9"/>
        <v>"Lao People's Democratic Republic "</v>
      </c>
      <c r="S125" s="2" t="s">
        <v>135</v>
      </c>
      <c r="T125" s="2" t="s">
        <v>860</v>
      </c>
      <c r="U125" s="2" t="str">
        <f t="shared" si="11"/>
        <v>XE25</v>
      </c>
      <c r="V125" s="2" t="str">
        <f t="shared" si="12"/>
        <v>"Malta"</v>
      </c>
      <c r="W125" s="2" t="s">
        <v>758</v>
      </c>
    </row>
    <row r="126" spans="1:23" hidden="1">
      <c r="A126" s="15" t="s">
        <v>619</v>
      </c>
      <c r="B126" s="15" t="s">
        <v>620</v>
      </c>
      <c r="C126" s="2" t="s">
        <v>121</v>
      </c>
      <c r="D126" s="2" t="s">
        <v>467</v>
      </c>
      <c r="E126" s="2" t="str">
        <f t="shared" si="10"/>
        <v>XME</v>
      </c>
      <c r="G126" s="15"/>
      <c r="H126" s="15" t="str">
        <f t="shared" si="7"/>
        <v>.</v>
      </c>
      <c r="I126" s="2" t="str">
        <f t="shared" si="14"/>
        <v/>
      </c>
      <c r="J126" s="2" t="s">
        <v>121</v>
      </c>
      <c r="K126" s="2" t="s">
        <v>635</v>
      </c>
      <c r="L126" s="2" t="str">
        <f>VLOOKUP(J126,C126:$E$248,3,FALSE)</f>
        <v>XME</v>
      </c>
      <c r="M126" s="2" t="str">
        <f t="shared" si="9"/>
        <v>"Lebanon "</v>
      </c>
      <c r="S126" s="2" t="s">
        <v>136</v>
      </c>
      <c r="T126" s="2" t="s">
        <v>860</v>
      </c>
      <c r="U126" s="2" t="str">
        <f t="shared" si="11"/>
        <v>XSA</v>
      </c>
      <c r="V126" s="2" t="str">
        <f t="shared" si="12"/>
        <v>"Marshall Islands"</v>
      </c>
      <c r="W126" s="2" t="s">
        <v>759</v>
      </c>
    </row>
    <row r="127" spans="1:23" hidden="1">
      <c r="A127" s="15" t="s">
        <v>623</v>
      </c>
      <c r="B127" s="15" t="s">
        <v>624</v>
      </c>
      <c r="C127" s="2" t="s">
        <v>123</v>
      </c>
      <c r="D127" s="2" t="s">
        <v>468</v>
      </c>
      <c r="E127" s="2" t="str">
        <f t="shared" si="10"/>
        <v>XAF</v>
      </c>
      <c r="G127" s="15"/>
      <c r="H127" s="15" t="str">
        <f t="shared" si="7"/>
        <v>.</v>
      </c>
      <c r="I127" s="2" t="str">
        <f t="shared" si="14"/>
        <v/>
      </c>
      <c r="J127" s="2" t="s">
        <v>123</v>
      </c>
      <c r="K127" s="2" t="s">
        <v>635</v>
      </c>
      <c r="L127" s="2" t="str">
        <f>VLOOKUP(J127,C127:$E$248,3,FALSE)</f>
        <v>XAF</v>
      </c>
      <c r="M127" s="2" t="str">
        <f t="shared" si="9"/>
        <v>"Liberia "</v>
      </c>
      <c r="S127" s="2" t="s">
        <v>138</v>
      </c>
      <c r="T127" s="2" t="s">
        <v>860</v>
      </c>
      <c r="U127" s="2" t="str">
        <f t="shared" si="11"/>
        <v>XAF</v>
      </c>
      <c r="V127" s="2" t="str">
        <f t="shared" si="12"/>
        <v>"Mauritania"</v>
      </c>
      <c r="W127" s="2" t="s">
        <v>760</v>
      </c>
    </row>
    <row r="128" spans="1:23" hidden="1">
      <c r="A128" s="15" t="s">
        <v>621</v>
      </c>
      <c r="B128" s="15" t="s">
        <v>622</v>
      </c>
      <c r="C128" s="2" t="s">
        <v>124</v>
      </c>
      <c r="D128" s="2" t="s">
        <v>469</v>
      </c>
      <c r="E128" s="2" t="str">
        <f t="shared" si="10"/>
        <v>XNF</v>
      </c>
      <c r="G128" s="15"/>
      <c r="H128" s="15" t="str">
        <f t="shared" si="7"/>
        <v>.</v>
      </c>
      <c r="I128" s="2" t="str">
        <f t="shared" si="14"/>
        <v/>
      </c>
      <c r="J128" s="2" t="s">
        <v>124</v>
      </c>
      <c r="K128" s="2" t="s">
        <v>635</v>
      </c>
      <c r="L128" s="2" t="str">
        <f>VLOOKUP(J128,C128:$E$248,3,FALSE)</f>
        <v>XNF</v>
      </c>
      <c r="M128" s="2" t="str">
        <f t="shared" si="9"/>
        <v>"Libyan Arab Jamahiriya "</v>
      </c>
      <c r="S128" s="2" t="s">
        <v>139</v>
      </c>
      <c r="T128" s="2" t="s">
        <v>860</v>
      </c>
      <c r="U128" s="2" t="str">
        <f t="shared" si="11"/>
        <v>XAF</v>
      </c>
      <c r="V128" s="2" t="str">
        <f t="shared" si="12"/>
        <v>"Mauritius"</v>
      </c>
      <c r="W128" s="2" t="s">
        <v>761</v>
      </c>
    </row>
    <row r="129" spans="1:23" hidden="1">
      <c r="A129" s="15" t="s">
        <v>615</v>
      </c>
      <c r="B129" s="15" t="s">
        <v>616</v>
      </c>
      <c r="C129" s="2" t="s">
        <v>183</v>
      </c>
      <c r="D129" s="2" t="s">
        <v>470</v>
      </c>
      <c r="E129" s="2" t="str">
        <f t="shared" si="10"/>
        <v>XLM</v>
      </c>
      <c r="G129" s="15"/>
      <c r="H129" s="15" t="str">
        <f t="shared" si="7"/>
        <v>.</v>
      </c>
      <c r="I129" s="2" t="str">
        <f t="shared" si="14"/>
        <v/>
      </c>
      <c r="J129" s="2" t="s">
        <v>183</v>
      </c>
      <c r="K129" s="2" t="s">
        <v>635</v>
      </c>
      <c r="L129" s="2" t="str">
        <f>VLOOKUP(J129,C129:$E$248,3,FALSE)</f>
        <v>XLM</v>
      </c>
      <c r="M129" s="2" t="str">
        <f t="shared" si="9"/>
        <v>"Saint Lucia "</v>
      </c>
      <c r="S129" s="2" t="s">
        <v>141</v>
      </c>
      <c r="T129" s="2" t="s">
        <v>860</v>
      </c>
      <c r="U129" s="2" t="str">
        <f t="shared" si="11"/>
        <v>XLM</v>
      </c>
      <c r="V129" s="2" t="str">
        <f t="shared" si="12"/>
        <v>"Mexico"</v>
      </c>
      <c r="W129" s="2" t="s">
        <v>762</v>
      </c>
    </row>
    <row r="130" spans="1:23" hidden="1">
      <c r="A130" s="15" t="s">
        <v>603</v>
      </c>
      <c r="B130" s="15" t="s">
        <v>604</v>
      </c>
      <c r="C130" s="2" t="s">
        <v>125</v>
      </c>
      <c r="D130" s="2" t="s">
        <v>471</v>
      </c>
      <c r="E130" s="2" t="str">
        <f t="shared" si="10"/>
        <v>XER</v>
      </c>
      <c r="G130" s="15"/>
      <c r="H130" s="15" t="str">
        <f t="shared" ref="H130:H193" si="15">VLOOKUP(J130,$S$2:$W$265,2,FALSE)</f>
        <v>.</v>
      </c>
      <c r="I130" s="2" t="str">
        <f t="shared" si="14"/>
        <v/>
      </c>
      <c r="J130" s="2" t="s">
        <v>125</v>
      </c>
      <c r="K130" s="2" t="s">
        <v>635</v>
      </c>
      <c r="L130" s="2" t="str">
        <f>VLOOKUP(J130,C130:$E$248,3,FALSE)</f>
        <v>XER</v>
      </c>
      <c r="M130" s="2" t="str">
        <f t="shared" ref="M130:M193" si="16">""""&amp;D130&amp;""""</f>
        <v>"Liechtenstein "</v>
      </c>
      <c r="S130" s="2" t="s">
        <v>142</v>
      </c>
      <c r="T130" s="2" t="s">
        <v>860</v>
      </c>
      <c r="U130" s="2" t="str">
        <f t="shared" si="11"/>
        <v>XSA</v>
      </c>
      <c r="V130" s="2" t="str">
        <f t="shared" si="12"/>
        <v>"Micronesia, Fed. Sts."</v>
      </c>
      <c r="W130" s="2" t="s">
        <v>763</v>
      </c>
    </row>
    <row r="131" spans="1:23">
      <c r="A131" s="15" t="s">
        <v>612</v>
      </c>
      <c r="B131" s="15" t="s">
        <v>613</v>
      </c>
      <c r="C131" s="2" t="s">
        <v>201</v>
      </c>
      <c r="D131" s="2" t="s">
        <v>472</v>
      </c>
      <c r="E131" s="2" t="str">
        <f t="shared" ref="E131:E194" si="17">A131</f>
        <v>XSA</v>
      </c>
      <c r="G131" s="15"/>
      <c r="H131" s="15" t="str">
        <f t="shared" si="15"/>
        <v>.</v>
      </c>
      <c r="I131" s="2" t="str">
        <f t="shared" si="14"/>
        <v/>
      </c>
      <c r="J131" s="2" t="s">
        <v>201</v>
      </c>
      <c r="K131" s="2" t="s">
        <v>635</v>
      </c>
      <c r="L131" s="2" t="str">
        <f>VLOOKUP(J131,C131:$E$248,3,FALSE)</f>
        <v>XSA</v>
      </c>
      <c r="M131" s="2" t="str">
        <f t="shared" si="16"/>
        <v>"Sri Lanka "</v>
      </c>
      <c r="S131" s="2" t="s">
        <v>143</v>
      </c>
      <c r="T131" s="2" t="s">
        <v>860</v>
      </c>
      <c r="U131" s="2" t="str">
        <f t="shared" ref="U131:U194" si="18">VLOOKUP(S131,$J$2:$M$248,3,FALSE)</f>
        <v>CIS</v>
      </c>
      <c r="V131" s="2" t="str">
        <f t="shared" ref="V131:V194" si="19">""""&amp;W131&amp;""""</f>
        <v>"Moldova"</v>
      </c>
      <c r="W131" s="2" t="s">
        <v>764</v>
      </c>
    </row>
    <row r="132" spans="1:23" hidden="1">
      <c r="A132" s="15" t="s">
        <v>623</v>
      </c>
      <c r="B132" s="15" t="s">
        <v>624</v>
      </c>
      <c r="C132" s="2" t="s">
        <v>122</v>
      </c>
      <c r="D132" s="2" t="s">
        <v>473</v>
      </c>
      <c r="E132" s="2" t="str">
        <f t="shared" si="17"/>
        <v>XAF</v>
      </c>
      <c r="G132" s="15"/>
      <c r="H132" s="15" t="str">
        <f t="shared" si="15"/>
        <v>.</v>
      </c>
      <c r="I132" s="2" t="str">
        <f t="shared" si="14"/>
        <v/>
      </c>
      <c r="J132" s="2" t="s">
        <v>122</v>
      </c>
      <c r="K132" s="2" t="s">
        <v>635</v>
      </c>
      <c r="L132" s="2" t="str">
        <f>VLOOKUP(J132,C132:$E$248,3,FALSE)</f>
        <v>XAF</v>
      </c>
      <c r="M132" s="2" t="str">
        <f t="shared" si="16"/>
        <v>"Lesotho "</v>
      </c>
      <c r="S132" s="2" t="s">
        <v>144</v>
      </c>
      <c r="T132" s="2" t="s">
        <v>860</v>
      </c>
      <c r="U132" s="2" t="str">
        <f t="shared" si="18"/>
        <v>XER</v>
      </c>
      <c r="V132" s="2" t="str">
        <f t="shared" si="19"/>
        <v>"Monaco"</v>
      </c>
      <c r="W132" s="2" t="s">
        <v>765</v>
      </c>
    </row>
    <row r="133" spans="1:23" hidden="1">
      <c r="A133" s="15" t="s">
        <v>602</v>
      </c>
      <c r="B133" s="15" t="s">
        <v>240</v>
      </c>
      <c r="C133" s="2" t="s">
        <v>126</v>
      </c>
      <c r="D133" s="2" t="s">
        <v>474</v>
      </c>
      <c r="E133" s="2" t="str">
        <f t="shared" si="17"/>
        <v>XE25</v>
      </c>
      <c r="G133" s="15"/>
      <c r="H133" s="15" t="str">
        <f t="shared" si="15"/>
        <v>.</v>
      </c>
      <c r="I133" s="2" t="str">
        <f t="shared" si="14"/>
        <v/>
      </c>
      <c r="J133" s="2" t="s">
        <v>126</v>
      </c>
      <c r="K133" s="2" t="s">
        <v>635</v>
      </c>
      <c r="L133" s="2" t="str">
        <f>VLOOKUP(J133,C133:$E$248,3,FALSE)</f>
        <v>XE25</v>
      </c>
      <c r="M133" s="2" t="str">
        <f t="shared" si="16"/>
        <v>"Lithuania "</v>
      </c>
      <c r="S133" s="2" t="s">
        <v>145</v>
      </c>
      <c r="T133" s="2" t="s">
        <v>860</v>
      </c>
      <c r="U133" s="2" t="str">
        <f t="shared" si="18"/>
        <v>XSE</v>
      </c>
      <c r="V133" s="2" t="str">
        <f t="shared" si="19"/>
        <v>"Mongolia"</v>
      </c>
      <c r="W133" s="2" t="s">
        <v>766</v>
      </c>
    </row>
    <row r="134" spans="1:23" hidden="1">
      <c r="A134" s="15" t="s">
        <v>602</v>
      </c>
      <c r="B134" s="15" t="s">
        <v>240</v>
      </c>
      <c r="C134" s="2" t="s">
        <v>127</v>
      </c>
      <c r="D134" s="2" t="s">
        <v>475</v>
      </c>
      <c r="E134" s="2" t="str">
        <f t="shared" si="17"/>
        <v>XE25</v>
      </c>
      <c r="G134" s="15"/>
      <c r="H134" s="15" t="str">
        <f t="shared" si="15"/>
        <v>.</v>
      </c>
      <c r="I134" s="2" t="str">
        <f t="shared" si="14"/>
        <v/>
      </c>
      <c r="J134" s="2" t="s">
        <v>127</v>
      </c>
      <c r="K134" s="2" t="s">
        <v>635</v>
      </c>
      <c r="L134" s="2" t="str">
        <f>VLOOKUP(J134,C134:$E$248,3,FALSE)</f>
        <v>XE25</v>
      </c>
      <c r="M134" s="2" t="str">
        <f t="shared" si="16"/>
        <v>"Luxembourg "</v>
      </c>
      <c r="S134" s="2" t="s">
        <v>265</v>
      </c>
      <c r="T134" s="2" t="s">
        <v>860</v>
      </c>
      <c r="U134" s="2" t="str">
        <f t="shared" si="18"/>
        <v>XER</v>
      </c>
      <c r="V134" s="2" t="str">
        <f t="shared" si="19"/>
        <v>"Montenegro"</v>
      </c>
      <c r="W134" s="2" t="s">
        <v>767</v>
      </c>
    </row>
    <row r="135" spans="1:23" hidden="1">
      <c r="A135" s="15" t="s">
        <v>602</v>
      </c>
      <c r="B135" s="15" t="s">
        <v>240</v>
      </c>
      <c r="C135" s="2" t="s">
        <v>120</v>
      </c>
      <c r="D135" s="2" t="s">
        <v>476</v>
      </c>
      <c r="E135" s="2" t="str">
        <f t="shared" si="17"/>
        <v>XE25</v>
      </c>
      <c r="G135" s="15"/>
      <c r="H135" s="15" t="str">
        <f t="shared" si="15"/>
        <v>.</v>
      </c>
      <c r="I135" s="2" t="str">
        <f t="shared" si="14"/>
        <v/>
      </c>
      <c r="J135" s="2" t="s">
        <v>120</v>
      </c>
      <c r="K135" s="2" t="s">
        <v>635</v>
      </c>
      <c r="L135" s="2" t="str">
        <f>VLOOKUP(J135,C135:$E$248,3,FALSE)</f>
        <v>XE25</v>
      </c>
      <c r="M135" s="2" t="str">
        <f t="shared" si="16"/>
        <v>"Latvia "</v>
      </c>
      <c r="S135" s="2" t="s">
        <v>147</v>
      </c>
      <c r="T135" s="2" t="s">
        <v>860</v>
      </c>
      <c r="U135" s="2" t="str">
        <f t="shared" si="18"/>
        <v>XNF</v>
      </c>
      <c r="V135" s="2" t="str">
        <f t="shared" si="19"/>
        <v>"Morocco"</v>
      </c>
      <c r="W135" s="2" t="s">
        <v>768</v>
      </c>
    </row>
    <row r="136" spans="1:23" hidden="1">
      <c r="A136" s="15" t="e">
        <v>#N/A</v>
      </c>
      <c r="B136" s="15" t="e">
        <v>#N/A</v>
      </c>
      <c r="C136" s="2" t="s">
        <v>128</v>
      </c>
      <c r="D136" s="2" t="s">
        <v>477</v>
      </c>
      <c r="E136" s="2" t="e">
        <f t="shared" si="17"/>
        <v>#N/A</v>
      </c>
      <c r="G136" s="15"/>
      <c r="H136" s="15" t="str">
        <f t="shared" si="15"/>
        <v>.</v>
      </c>
      <c r="I136" s="2" t="str">
        <f t="shared" si="14"/>
        <v/>
      </c>
      <c r="J136" s="2" t="s">
        <v>128</v>
      </c>
      <c r="K136" s="2" t="s">
        <v>635</v>
      </c>
      <c r="L136" s="2" t="s">
        <v>852</v>
      </c>
      <c r="M136" s="2" t="str">
        <f t="shared" si="16"/>
        <v>"Macao "</v>
      </c>
      <c r="S136" s="2" t="s">
        <v>148</v>
      </c>
      <c r="T136" s="2" t="s">
        <v>860</v>
      </c>
      <c r="U136" s="2" t="str">
        <f t="shared" si="18"/>
        <v>XAF</v>
      </c>
      <c r="V136" s="2" t="str">
        <f t="shared" si="19"/>
        <v>"Mozambique"</v>
      </c>
      <c r="W136" s="2" t="s">
        <v>769</v>
      </c>
    </row>
    <row r="137" spans="1:23" hidden="1">
      <c r="A137" s="15" t="e">
        <v>#N/A</v>
      </c>
      <c r="B137" s="15" t="e">
        <v>#N/A</v>
      </c>
      <c r="C137" s="2" t="s">
        <v>478</v>
      </c>
      <c r="D137" s="2" t="s">
        <v>479</v>
      </c>
      <c r="E137" s="2" t="e">
        <f t="shared" si="17"/>
        <v>#N/A</v>
      </c>
      <c r="G137" s="15"/>
      <c r="H137" s="15" t="str">
        <f t="shared" si="15"/>
        <v>.</v>
      </c>
      <c r="I137" s="2" t="str">
        <f t="shared" si="14"/>
        <v/>
      </c>
      <c r="J137" s="2" t="s">
        <v>478</v>
      </c>
      <c r="K137" s="2" t="s">
        <v>635</v>
      </c>
      <c r="L137" s="2" t="s">
        <v>853</v>
      </c>
      <c r="M137" s="2" t="str">
        <f t="shared" si="16"/>
        <v>"Saint Martin (French part) "</v>
      </c>
      <c r="S137" s="2" t="s">
        <v>149</v>
      </c>
      <c r="T137" s="2" t="s">
        <v>860</v>
      </c>
      <c r="U137" s="2" t="str">
        <f t="shared" si="18"/>
        <v>XSE</v>
      </c>
      <c r="V137" s="2" t="str">
        <f t="shared" si="19"/>
        <v>"Myanmar"</v>
      </c>
      <c r="W137" s="2" t="s">
        <v>770</v>
      </c>
    </row>
    <row r="138" spans="1:23" hidden="1">
      <c r="A138" s="15" t="s">
        <v>621</v>
      </c>
      <c r="B138" s="15" t="s">
        <v>622</v>
      </c>
      <c r="C138" s="2" t="s">
        <v>147</v>
      </c>
      <c r="D138" s="2" t="s">
        <v>480</v>
      </c>
      <c r="E138" s="2" t="str">
        <f t="shared" si="17"/>
        <v>XNF</v>
      </c>
      <c r="G138" s="15"/>
      <c r="H138" s="15" t="str">
        <f t="shared" si="15"/>
        <v>.</v>
      </c>
      <c r="I138" s="2" t="str">
        <f t="shared" si="14"/>
        <v/>
      </c>
      <c r="J138" s="2" t="s">
        <v>147</v>
      </c>
      <c r="K138" s="2" t="s">
        <v>635</v>
      </c>
      <c r="L138" s="2" t="str">
        <f>VLOOKUP(J138,C138:$E$248,3,FALSE)</f>
        <v>XNF</v>
      </c>
      <c r="M138" s="2" t="str">
        <f t="shared" si="16"/>
        <v>"Morocco "</v>
      </c>
      <c r="S138" s="2" t="s">
        <v>150</v>
      </c>
      <c r="T138" s="2" t="s">
        <v>860</v>
      </c>
      <c r="U138" s="2" t="str">
        <f t="shared" si="18"/>
        <v>XAF</v>
      </c>
      <c r="V138" s="2" t="str">
        <f t="shared" si="19"/>
        <v>"Namibia"</v>
      </c>
      <c r="W138" s="2" t="s">
        <v>771</v>
      </c>
    </row>
    <row r="139" spans="1:23" hidden="1">
      <c r="A139" s="15" t="s">
        <v>603</v>
      </c>
      <c r="B139" s="15" t="s">
        <v>604</v>
      </c>
      <c r="C139" s="2" t="s">
        <v>144</v>
      </c>
      <c r="D139" s="2" t="s">
        <v>481</v>
      </c>
      <c r="E139" s="2" t="str">
        <f t="shared" si="17"/>
        <v>XER</v>
      </c>
      <c r="G139" s="15"/>
      <c r="H139" s="15" t="str">
        <f t="shared" si="15"/>
        <v>.</v>
      </c>
      <c r="I139" s="2" t="str">
        <f t="shared" si="14"/>
        <v/>
      </c>
      <c r="J139" s="2" t="s">
        <v>144</v>
      </c>
      <c r="K139" s="2" t="s">
        <v>635</v>
      </c>
      <c r="L139" s="2" t="str">
        <f>VLOOKUP(J139,C139:$E$248,3,FALSE)</f>
        <v>XER</v>
      </c>
      <c r="M139" s="2" t="str">
        <f t="shared" si="16"/>
        <v>"Monaco "</v>
      </c>
      <c r="S139" s="2" t="s">
        <v>151</v>
      </c>
      <c r="T139" s="2" t="s">
        <v>860</v>
      </c>
      <c r="U139" s="2" t="str">
        <f t="shared" si="18"/>
        <v>XSA</v>
      </c>
      <c r="V139" s="2" t="str">
        <f t="shared" si="19"/>
        <v>"Nauru"</v>
      </c>
      <c r="W139" s="2" t="s">
        <v>772</v>
      </c>
    </row>
    <row r="140" spans="1:23" hidden="1">
      <c r="A140" s="15" t="s">
        <v>617</v>
      </c>
      <c r="B140" s="15" t="s">
        <v>618</v>
      </c>
      <c r="C140" s="2" t="s">
        <v>143</v>
      </c>
      <c r="D140" s="2" t="s">
        <v>482</v>
      </c>
      <c r="E140" s="2" t="str">
        <f t="shared" si="17"/>
        <v>CIS</v>
      </c>
      <c r="G140" s="15"/>
      <c r="H140" s="15" t="str">
        <f t="shared" si="15"/>
        <v>.</v>
      </c>
      <c r="I140" s="2" t="str">
        <f t="shared" si="14"/>
        <v/>
      </c>
      <c r="J140" s="2" t="s">
        <v>143</v>
      </c>
      <c r="K140" s="2" t="s">
        <v>635</v>
      </c>
      <c r="L140" s="2" t="str">
        <f>VLOOKUP(J140,C140:$E$248,3,FALSE)</f>
        <v>CIS</v>
      </c>
      <c r="M140" s="2" t="str">
        <f t="shared" si="16"/>
        <v>"Moldova, Republic of "</v>
      </c>
      <c r="S140" s="2" t="s">
        <v>152</v>
      </c>
      <c r="T140" s="2" t="s">
        <v>860</v>
      </c>
      <c r="U140" s="2" t="str">
        <f t="shared" si="18"/>
        <v>XSA</v>
      </c>
      <c r="V140" s="2" t="str">
        <f t="shared" si="19"/>
        <v>"Nepal"</v>
      </c>
      <c r="W140" s="2" t="s">
        <v>773</v>
      </c>
    </row>
    <row r="141" spans="1:23" hidden="1">
      <c r="A141" s="15" t="s">
        <v>623</v>
      </c>
      <c r="B141" s="15" t="s">
        <v>624</v>
      </c>
      <c r="C141" s="2" t="s">
        <v>130</v>
      </c>
      <c r="D141" s="2" t="s">
        <v>483</v>
      </c>
      <c r="E141" s="2" t="str">
        <f t="shared" si="17"/>
        <v>XAF</v>
      </c>
      <c r="G141" s="15"/>
      <c r="H141" s="15" t="str">
        <f t="shared" si="15"/>
        <v>.</v>
      </c>
      <c r="I141" s="2" t="str">
        <f t="shared" si="14"/>
        <v/>
      </c>
      <c r="J141" s="2" t="s">
        <v>130</v>
      </c>
      <c r="K141" s="2" t="s">
        <v>635</v>
      </c>
      <c r="L141" s="2" t="str">
        <f>VLOOKUP(J141,C141:$E$248,3,FALSE)</f>
        <v>XAF</v>
      </c>
      <c r="M141" s="2" t="str">
        <f t="shared" si="16"/>
        <v>"Madagascar "</v>
      </c>
      <c r="S141" s="2" t="s">
        <v>153</v>
      </c>
      <c r="T141" s="2" t="s">
        <v>860</v>
      </c>
      <c r="U141" s="2" t="str">
        <f t="shared" si="18"/>
        <v>XE25</v>
      </c>
      <c r="V141" s="2" t="str">
        <f t="shared" si="19"/>
        <v>"Netherlands"</v>
      </c>
      <c r="W141" s="2" t="s">
        <v>774</v>
      </c>
    </row>
    <row r="142" spans="1:23">
      <c r="A142" s="15" t="s">
        <v>612</v>
      </c>
      <c r="B142" s="15" t="s">
        <v>613</v>
      </c>
      <c r="C142" s="2" t="s">
        <v>133</v>
      </c>
      <c r="D142" s="2" t="s">
        <v>484</v>
      </c>
      <c r="E142" s="2" t="str">
        <f t="shared" si="17"/>
        <v>XSA</v>
      </c>
      <c r="G142" s="15"/>
      <c r="H142" s="15" t="str">
        <f t="shared" si="15"/>
        <v>.</v>
      </c>
      <c r="I142" s="2" t="str">
        <f t="shared" si="14"/>
        <v/>
      </c>
      <c r="J142" s="2" t="s">
        <v>133</v>
      </c>
      <c r="K142" s="2" t="s">
        <v>635</v>
      </c>
      <c r="L142" s="2" t="str">
        <f>VLOOKUP(J142,C142:$E$248,3,FALSE)</f>
        <v>XSA</v>
      </c>
      <c r="M142" s="2" t="str">
        <f t="shared" si="16"/>
        <v>"Maldives "</v>
      </c>
      <c r="S142" s="2" t="s">
        <v>155</v>
      </c>
      <c r="T142" s="2" t="s">
        <v>860</v>
      </c>
      <c r="U142" s="2" t="str">
        <f t="shared" si="18"/>
        <v>XSA</v>
      </c>
      <c r="V142" s="2" t="str">
        <f t="shared" si="19"/>
        <v>"New Caledonia"</v>
      </c>
      <c r="W142" s="2" t="s">
        <v>775</v>
      </c>
    </row>
    <row r="143" spans="1:23" hidden="1">
      <c r="A143" s="15" t="s">
        <v>615</v>
      </c>
      <c r="B143" s="15" t="s">
        <v>616</v>
      </c>
      <c r="C143" s="2" t="s">
        <v>141</v>
      </c>
      <c r="D143" s="2" t="s">
        <v>485</v>
      </c>
      <c r="E143" s="2" t="str">
        <f t="shared" si="17"/>
        <v>XLM</v>
      </c>
      <c r="G143" s="15"/>
      <c r="H143" s="15" t="str">
        <f t="shared" si="15"/>
        <v>.</v>
      </c>
      <c r="I143" s="2" t="str">
        <f t="shared" si="14"/>
        <v/>
      </c>
      <c r="J143" s="2" t="s">
        <v>141</v>
      </c>
      <c r="K143" s="2" t="s">
        <v>635</v>
      </c>
      <c r="L143" s="2" t="str">
        <f>VLOOKUP(J143,C143:$E$248,3,FALSE)</f>
        <v>XLM</v>
      </c>
      <c r="M143" s="2" t="str">
        <f t="shared" si="16"/>
        <v>"Mexico "</v>
      </c>
      <c r="S143" s="2" t="s">
        <v>156</v>
      </c>
      <c r="T143" s="2" t="s">
        <v>860</v>
      </c>
      <c r="U143" s="2" t="str">
        <f t="shared" si="18"/>
        <v>XOC</v>
      </c>
      <c r="V143" s="2" t="str">
        <f t="shared" si="19"/>
        <v>"New Zealand"</v>
      </c>
      <c r="W143" s="2" t="s">
        <v>776</v>
      </c>
    </row>
    <row r="144" spans="1:23">
      <c r="A144" s="15" t="s">
        <v>612</v>
      </c>
      <c r="B144" s="15" t="s">
        <v>613</v>
      </c>
      <c r="C144" s="2" t="s">
        <v>136</v>
      </c>
      <c r="D144" s="2" t="s">
        <v>486</v>
      </c>
      <c r="E144" s="2" t="str">
        <f t="shared" si="17"/>
        <v>XSA</v>
      </c>
      <c r="G144" s="15"/>
      <c r="H144" s="15" t="str">
        <f t="shared" si="15"/>
        <v>.</v>
      </c>
      <c r="I144" s="2" t="str">
        <f t="shared" si="14"/>
        <v/>
      </c>
      <c r="J144" s="2" t="s">
        <v>136</v>
      </c>
      <c r="K144" s="2" t="s">
        <v>635</v>
      </c>
      <c r="L144" s="2" t="str">
        <f>VLOOKUP(J144,C144:$E$248,3,FALSE)</f>
        <v>XSA</v>
      </c>
      <c r="M144" s="2" t="str">
        <f t="shared" si="16"/>
        <v>"Marshall Islands "</v>
      </c>
      <c r="S144" s="2" t="s">
        <v>157</v>
      </c>
      <c r="T144" s="2" t="s">
        <v>860</v>
      </c>
      <c r="U144" s="2" t="str">
        <f t="shared" si="18"/>
        <v>XLM</v>
      </c>
      <c r="V144" s="2" t="str">
        <f t="shared" si="19"/>
        <v>"Nicaragua"</v>
      </c>
      <c r="W144" s="2" t="s">
        <v>777</v>
      </c>
    </row>
    <row r="145" spans="1:23" hidden="1">
      <c r="A145" s="15" t="s">
        <v>603</v>
      </c>
      <c r="B145" s="15" t="s">
        <v>604</v>
      </c>
      <c r="C145" s="2" t="s">
        <v>129</v>
      </c>
      <c r="D145" s="2" t="s">
        <v>487</v>
      </c>
      <c r="E145" s="2" t="str">
        <f t="shared" si="17"/>
        <v>XER</v>
      </c>
      <c r="G145" s="15"/>
      <c r="H145" s="15" t="str">
        <f t="shared" si="15"/>
        <v>.</v>
      </c>
      <c r="I145" s="2" t="str">
        <f t="shared" si="14"/>
        <v/>
      </c>
      <c r="J145" s="2" t="s">
        <v>129</v>
      </c>
      <c r="K145" s="2" t="s">
        <v>635</v>
      </c>
      <c r="L145" s="2" t="str">
        <f>VLOOKUP(J145,C145:$E$248,3,FALSE)</f>
        <v>XER</v>
      </c>
      <c r="M145" s="2" t="str">
        <f t="shared" si="16"/>
        <v>"Macedonia, the former Yugoslav Republic of "</v>
      </c>
      <c r="S145" s="2" t="s">
        <v>158</v>
      </c>
      <c r="T145" s="2" t="s">
        <v>860</v>
      </c>
      <c r="U145" s="2" t="str">
        <f t="shared" si="18"/>
        <v>XAF</v>
      </c>
      <c r="V145" s="2" t="str">
        <f t="shared" si="19"/>
        <v>"Niger"</v>
      </c>
      <c r="W145" s="2" t="s">
        <v>778</v>
      </c>
    </row>
    <row r="146" spans="1:23" hidden="1">
      <c r="A146" s="15" t="s">
        <v>623</v>
      </c>
      <c r="B146" s="15" t="s">
        <v>624</v>
      </c>
      <c r="C146" s="2" t="s">
        <v>134</v>
      </c>
      <c r="D146" s="2" t="s">
        <v>488</v>
      </c>
      <c r="E146" s="2" t="str">
        <f t="shared" si="17"/>
        <v>XAF</v>
      </c>
      <c r="G146" s="15"/>
      <c r="H146" s="15" t="str">
        <f t="shared" si="15"/>
        <v>.</v>
      </c>
      <c r="I146" s="2" t="str">
        <f t="shared" si="14"/>
        <v/>
      </c>
      <c r="J146" s="2" t="s">
        <v>134</v>
      </c>
      <c r="K146" s="2" t="s">
        <v>635</v>
      </c>
      <c r="L146" s="2" t="str">
        <f>VLOOKUP(J146,C146:$E$248,3,FALSE)</f>
        <v>XAF</v>
      </c>
      <c r="M146" s="2" t="str">
        <f t="shared" si="16"/>
        <v>"Mali "</v>
      </c>
      <c r="S146" s="2" t="s">
        <v>159</v>
      </c>
      <c r="T146" s="2" t="s">
        <v>860</v>
      </c>
      <c r="U146" s="2" t="str">
        <f t="shared" si="18"/>
        <v>XAF</v>
      </c>
      <c r="V146" s="2" t="str">
        <f t="shared" si="19"/>
        <v>"Nigeria"</v>
      </c>
      <c r="W146" s="2" t="s">
        <v>779</v>
      </c>
    </row>
    <row r="147" spans="1:23" hidden="1">
      <c r="A147" s="15" t="s">
        <v>602</v>
      </c>
      <c r="B147" s="15" t="s">
        <v>240</v>
      </c>
      <c r="C147" s="2" t="s">
        <v>135</v>
      </c>
      <c r="D147" s="2" t="s">
        <v>489</v>
      </c>
      <c r="E147" s="2" t="str">
        <f t="shared" si="17"/>
        <v>XE25</v>
      </c>
      <c r="G147" s="15"/>
      <c r="H147" s="15" t="str">
        <f t="shared" si="15"/>
        <v>.</v>
      </c>
      <c r="I147" s="2" t="str">
        <f t="shared" si="14"/>
        <v/>
      </c>
      <c r="J147" s="2" t="s">
        <v>135</v>
      </c>
      <c r="K147" s="2" t="s">
        <v>635</v>
      </c>
      <c r="L147" s="2" t="str">
        <f>VLOOKUP(J147,C147:$E$248,3,FALSE)</f>
        <v>XE25</v>
      </c>
      <c r="M147" s="2" t="str">
        <f t="shared" si="16"/>
        <v>"Malta "</v>
      </c>
      <c r="S147" s="2" t="s">
        <v>129</v>
      </c>
      <c r="T147" s="2" t="s">
        <v>860</v>
      </c>
      <c r="U147" s="2" t="str">
        <f t="shared" si="18"/>
        <v>XER</v>
      </c>
      <c r="V147" s="2" t="str">
        <f t="shared" si="19"/>
        <v>"North Macedonia"</v>
      </c>
      <c r="W147" s="2" t="s">
        <v>780</v>
      </c>
    </row>
    <row r="148" spans="1:23" hidden="1">
      <c r="A148" s="15" t="s">
        <v>610</v>
      </c>
      <c r="B148" s="15" t="s">
        <v>611</v>
      </c>
      <c r="C148" s="2" t="s">
        <v>149</v>
      </c>
      <c r="D148" s="2" t="s">
        <v>490</v>
      </c>
      <c r="E148" s="2" t="str">
        <f t="shared" si="17"/>
        <v>XSE</v>
      </c>
      <c r="G148" s="15"/>
      <c r="H148" s="15" t="str">
        <f t="shared" si="15"/>
        <v>.</v>
      </c>
      <c r="I148" s="2" t="str">
        <f t="shared" si="14"/>
        <v/>
      </c>
      <c r="J148" s="2" t="s">
        <v>149</v>
      </c>
      <c r="K148" s="2" t="s">
        <v>635</v>
      </c>
      <c r="L148" s="2" t="str">
        <f>VLOOKUP(J148,C148:$E$248,3,FALSE)</f>
        <v>XSE</v>
      </c>
      <c r="M148" s="2" t="str">
        <f t="shared" si="16"/>
        <v>"Myanmar "</v>
      </c>
      <c r="S148" s="2" t="s">
        <v>162</v>
      </c>
      <c r="T148" s="2" t="s">
        <v>860</v>
      </c>
      <c r="U148" s="2" t="str">
        <f t="shared" si="18"/>
        <v>XSA</v>
      </c>
      <c r="V148" s="2" t="str">
        <f t="shared" si="19"/>
        <v>"Northern Mariana Islands"</v>
      </c>
      <c r="W148" s="2" t="s">
        <v>781</v>
      </c>
    </row>
    <row r="149" spans="1:23" hidden="1">
      <c r="A149" s="15" t="s">
        <v>603</v>
      </c>
      <c r="B149" s="15" t="s">
        <v>604</v>
      </c>
      <c r="C149" s="2" t="s">
        <v>265</v>
      </c>
      <c r="D149" s="2" t="s">
        <v>491</v>
      </c>
      <c r="E149" s="2" t="str">
        <f t="shared" si="17"/>
        <v>XER</v>
      </c>
      <c r="G149" s="15"/>
      <c r="H149" s="15" t="str">
        <f t="shared" si="15"/>
        <v>.</v>
      </c>
      <c r="I149" s="2" t="str">
        <f t="shared" si="14"/>
        <v/>
      </c>
      <c r="J149" s="2" t="s">
        <v>265</v>
      </c>
      <c r="K149" s="2" t="s">
        <v>635</v>
      </c>
      <c r="L149" s="2" t="str">
        <f>VLOOKUP(J149,C149:$E$248,3,FALSE)</f>
        <v>XER</v>
      </c>
      <c r="M149" s="2" t="str">
        <f t="shared" si="16"/>
        <v>"Montenegro "</v>
      </c>
      <c r="S149" s="2" t="s">
        <v>163</v>
      </c>
      <c r="T149" s="2" t="s">
        <v>860</v>
      </c>
      <c r="U149" s="2" t="str">
        <f t="shared" si="18"/>
        <v>XER</v>
      </c>
      <c r="V149" s="2" t="str">
        <f t="shared" si="19"/>
        <v>"Norway"</v>
      </c>
      <c r="W149" s="2" t="s">
        <v>782</v>
      </c>
    </row>
    <row r="150" spans="1:23" hidden="1">
      <c r="A150" s="15" t="s">
        <v>610</v>
      </c>
      <c r="B150" s="15" t="s">
        <v>611</v>
      </c>
      <c r="C150" s="2" t="s">
        <v>145</v>
      </c>
      <c r="D150" s="2" t="s">
        <v>492</v>
      </c>
      <c r="E150" s="2" t="str">
        <f t="shared" si="17"/>
        <v>XSE</v>
      </c>
      <c r="G150" s="15"/>
      <c r="H150" s="15" t="str">
        <f t="shared" si="15"/>
        <v>.</v>
      </c>
      <c r="I150" s="2" t="str">
        <f t="shared" si="14"/>
        <v/>
      </c>
      <c r="J150" s="2" t="s">
        <v>145</v>
      </c>
      <c r="K150" s="2" t="s">
        <v>635</v>
      </c>
      <c r="L150" s="2" t="str">
        <f>VLOOKUP(J150,C150:$E$248,3,FALSE)</f>
        <v>XSE</v>
      </c>
      <c r="M150" s="2" t="str">
        <f t="shared" si="16"/>
        <v>"Mongolia "</v>
      </c>
      <c r="S150" s="2" t="s">
        <v>164</v>
      </c>
      <c r="T150" s="2" t="s">
        <v>860</v>
      </c>
      <c r="U150" s="2" t="str">
        <f t="shared" si="18"/>
        <v>XME</v>
      </c>
      <c r="V150" s="2" t="str">
        <f t="shared" si="19"/>
        <v>"Oman"</v>
      </c>
      <c r="W150" s="2" t="s">
        <v>783</v>
      </c>
    </row>
    <row r="151" spans="1:23">
      <c r="A151" s="15" t="s">
        <v>612</v>
      </c>
      <c r="B151" s="15" t="s">
        <v>613</v>
      </c>
      <c r="C151" s="2" t="s">
        <v>162</v>
      </c>
      <c r="D151" s="2" t="s">
        <v>493</v>
      </c>
      <c r="E151" s="2" t="str">
        <f t="shared" si="17"/>
        <v>XSA</v>
      </c>
      <c r="G151" s="15"/>
      <c r="H151" s="15" t="str">
        <f t="shared" si="15"/>
        <v>.</v>
      </c>
      <c r="I151" s="2" t="str">
        <f t="shared" si="14"/>
        <v/>
      </c>
      <c r="J151" s="2" t="s">
        <v>162</v>
      </c>
      <c r="K151" s="2" t="s">
        <v>635</v>
      </c>
      <c r="L151" s="2" t="str">
        <f>VLOOKUP(J151,C151:$E$248,3,FALSE)</f>
        <v>XSA</v>
      </c>
      <c r="M151" s="2" t="str">
        <f t="shared" si="16"/>
        <v>"Northern Mariana Islands "</v>
      </c>
      <c r="S151" s="2" t="s">
        <v>165</v>
      </c>
      <c r="T151" s="2" t="s">
        <v>860</v>
      </c>
      <c r="U151" s="2" t="str">
        <f t="shared" si="18"/>
        <v>XSA</v>
      </c>
      <c r="V151" s="2" t="str">
        <f t="shared" si="19"/>
        <v>"Pakistan"</v>
      </c>
      <c r="W151" s="2" t="s">
        <v>784</v>
      </c>
    </row>
    <row r="152" spans="1:23" hidden="1">
      <c r="A152" s="15" t="s">
        <v>623</v>
      </c>
      <c r="B152" s="15" t="s">
        <v>624</v>
      </c>
      <c r="C152" s="2" t="s">
        <v>148</v>
      </c>
      <c r="D152" s="2" t="s">
        <v>494</v>
      </c>
      <c r="E152" s="2" t="str">
        <f t="shared" si="17"/>
        <v>XAF</v>
      </c>
      <c r="G152" s="15"/>
      <c r="H152" s="15" t="str">
        <f t="shared" si="15"/>
        <v>.</v>
      </c>
      <c r="I152" s="2" t="str">
        <f t="shared" si="14"/>
        <v/>
      </c>
      <c r="J152" s="2" t="s">
        <v>148</v>
      </c>
      <c r="K152" s="2" t="s">
        <v>635</v>
      </c>
      <c r="L152" s="2" t="str">
        <f>VLOOKUP(J152,C152:$E$248,3,FALSE)</f>
        <v>XAF</v>
      </c>
      <c r="M152" s="2" t="str">
        <f t="shared" si="16"/>
        <v>"Mozambique "</v>
      </c>
      <c r="S152" s="2" t="s">
        <v>166</v>
      </c>
      <c r="T152" s="2" t="s">
        <v>860</v>
      </c>
      <c r="U152" s="2" t="str">
        <f t="shared" si="18"/>
        <v>XSA</v>
      </c>
      <c r="V152" s="2" t="str">
        <f t="shared" si="19"/>
        <v>"Palau"</v>
      </c>
      <c r="W152" s="2" t="s">
        <v>785</v>
      </c>
    </row>
    <row r="153" spans="1:23" hidden="1">
      <c r="A153" s="15" t="s">
        <v>623</v>
      </c>
      <c r="B153" s="15" t="s">
        <v>624</v>
      </c>
      <c r="C153" s="2" t="s">
        <v>138</v>
      </c>
      <c r="D153" s="2" t="s">
        <v>495</v>
      </c>
      <c r="E153" s="2" t="str">
        <f t="shared" si="17"/>
        <v>XAF</v>
      </c>
      <c r="G153" s="15"/>
      <c r="H153" s="15" t="str">
        <f t="shared" si="15"/>
        <v>.</v>
      </c>
      <c r="I153" s="2" t="str">
        <f t="shared" si="14"/>
        <v/>
      </c>
      <c r="J153" s="2" t="s">
        <v>138</v>
      </c>
      <c r="K153" s="2" t="s">
        <v>635</v>
      </c>
      <c r="L153" s="2" t="str">
        <f>VLOOKUP(J153,C153:$E$248,3,FALSE)</f>
        <v>XAF</v>
      </c>
      <c r="M153" s="2" t="str">
        <f t="shared" si="16"/>
        <v>"Mauritania "</v>
      </c>
      <c r="S153" s="2" t="s">
        <v>167</v>
      </c>
      <c r="T153" s="2" t="s">
        <v>860</v>
      </c>
      <c r="U153" s="2" t="str">
        <f t="shared" si="18"/>
        <v>XLM</v>
      </c>
      <c r="V153" s="2" t="str">
        <f t="shared" si="19"/>
        <v>"Panama"</v>
      </c>
      <c r="W153" s="2" t="s">
        <v>786</v>
      </c>
    </row>
    <row r="154" spans="1:23" hidden="1">
      <c r="A154" s="15" t="s">
        <v>615</v>
      </c>
      <c r="B154" s="15" t="s">
        <v>616</v>
      </c>
      <c r="C154" s="2" t="s">
        <v>146</v>
      </c>
      <c r="D154" s="2" t="s">
        <v>496</v>
      </c>
      <c r="E154" s="2" t="str">
        <f t="shared" si="17"/>
        <v>XLM</v>
      </c>
      <c r="G154" s="15"/>
      <c r="H154" s="15" t="e">
        <f t="shared" si="15"/>
        <v>#N/A</v>
      </c>
      <c r="I154" s="2" t="str">
        <f t="shared" si="14"/>
        <v/>
      </c>
      <c r="J154" s="2" t="s">
        <v>146</v>
      </c>
      <c r="K154" s="2" t="s">
        <v>635</v>
      </c>
      <c r="L154" s="2" t="str">
        <f>VLOOKUP(J154,C154:$E$248,3,FALSE)</f>
        <v>XLM</v>
      </c>
      <c r="M154" s="2" t="str">
        <f t="shared" si="16"/>
        <v>"Montserrat "</v>
      </c>
      <c r="S154" s="2" t="s">
        <v>168</v>
      </c>
      <c r="T154" s="2" t="s">
        <v>860</v>
      </c>
      <c r="U154" s="2" t="str">
        <f t="shared" si="18"/>
        <v>XSA</v>
      </c>
      <c r="V154" s="2" t="str">
        <f t="shared" si="19"/>
        <v>"Papua New Guinea"</v>
      </c>
      <c r="W154" s="2" t="s">
        <v>787</v>
      </c>
    </row>
    <row r="155" spans="1:23" hidden="1">
      <c r="A155" s="15" t="s">
        <v>615</v>
      </c>
      <c r="B155" s="15" t="s">
        <v>616</v>
      </c>
      <c r="C155" s="2" t="s">
        <v>137</v>
      </c>
      <c r="D155" s="2" t="s">
        <v>497</v>
      </c>
      <c r="E155" s="2" t="str">
        <f t="shared" si="17"/>
        <v>XLM</v>
      </c>
      <c r="G155" s="15"/>
      <c r="H155" s="15" t="e">
        <f t="shared" si="15"/>
        <v>#N/A</v>
      </c>
      <c r="I155" s="2" t="str">
        <f t="shared" si="14"/>
        <v/>
      </c>
      <c r="J155" s="2" t="s">
        <v>137</v>
      </c>
      <c r="K155" s="2" t="s">
        <v>635</v>
      </c>
      <c r="L155" s="2" t="str">
        <f>VLOOKUP(J155,C155:$E$248,3,FALSE)</f>
        <v>XLM</v>
      </c>
      <c r="M155" s="2" t="str">
        <f t="shared" si="16"/>
        <v>"Martinique "</v>
      </c>
      <c r="S155" s="2" t="s">
        <v>169</v>
      </c>
      <c r="T155" s="2" t="s">
        <v>860</v>
      </c>
      <c r="U155" s="2" t="str">
        <f t="shared" si="18"/>
        <v>XLM</v>
      </c>
      <c r="V155" s="2" t="str">
        <f t="shared" si="19"/>
        <v>"Paraguay"</v>
      </c>
      <c r="W155" s="2" t="s">
        <v>788</v>
      </c>
    </row>
    <row r="156" spans="1:23" hidden="1">
      <c r="A156" s="15" t="s">
        <v>623</v>
      </c>
      <c r="B156" s="15" t="s">
        <v>624</v>
      </c>
      <c r="C156" s="2" t="s">
        <v>139</v>
      </c>
      <c r="D156" s="2" t="s">
        <v>498</v>
      </c>
      <c r="E156" s="2" t="str">
        <f t="shared" si="17"/>
        <v>XAF</v>
      </c>
      <c r="G156" s="15"/>
      <c r="H156" s="15" t="str">
        <f t="shared" si="15"/>
        <v>.</v>
      </c>
      <c r="I156" s="2" t="str">
        <f t="shared" si="14"/>
        <v/>
      </c>
      <c r="J156" s="2" t="s">
        <v>139</v>
      </c>
      <c r="K156" s="2" t="s">
        <v>635</v>
      </c>
      <c r="L156" s="2" t="str">
        <f>VLOOKUP(J156,C156:$E$248,3,FALSE)</f>
        <v>XAF</v>
      </c>
      <c r="M156" s="2" t="str">
        <f t="shared" si="16"/>
        <v>"Mauritius "</v>
      </c>
      <c r="S156" s="2" t="s">
        <v>170</v>
      </c>
      <c r="T156" s="2" t="s">
        <v>860</v>
      </c>
      <c r="U156" s="2" t="str">
        <f t="shared" si="18"/>
        <v>XLM</v>
      </c>
      <c r="V156" s="2" t="str">
        <f t="shared" si="19"/>
        <v>"Peru"</v>
      </c>
      <c r="W156" s="2" t="s">
        <v>789</v>
      </c>
    </row>
    <row r="157" spans="1:23" hidden="1">
      <c r="A157" s="15" t="s">
        <v>623</v>
      </c>
      <c r="B157" s="15" t="s">
        <v>624</v>
      </c>
      <c r="C157" s="2" t="s">
        <v>131</v>
      </c>
      <c r="D157" s="2" t="s">
        <v>499</v>
      </c>
      <c r="E157" s="2" t="str">
        <f t="shared" si="17"/>
        <v>XAF</v>
      </c>
      <c r="G157" s="15"/>
      <c r="H157" s="15" t="str">
        <f t="shared" si="15"/>
        <v>.</v>
      </c>
      <c r="I157" s="2" t="str">
        <f t="shared" si="14"/>
        <v/>
      </c>
      <c r="J157" s="2" t="s">
        <v>131</v>
      </c>
      <c r="K157" s="2" t="s">
        <v>635</v>
      </c>
      <c r="L157" s="2" t="str">
        <f>VLOOKUP(J157,C157:$E$248,3,FALSE)</f>
        <v>XAF</v>
      </c>
      <c r="M157" s="2" t="str">
        <f t="shared" si="16"/>
        <v>"Malawi "</v>
      </c>
      <c r="S157" s="2" t="s">
        <v>171</v>
      </c>
      <c r="T157" s="2" t="s">
        <v>860</v>
      </c>
      <c r="U157" s="2" t="str">
        <f t="shared" si="18"/>
        <v>XSE</v>
      </c>
      <c r="V157" s="2" t="str">
        <f t="shared" si="19"/>
        <v>"Philippines"</v>
      </c>
      <c r="W157" s="2" t="s">
        <v>790</v>
      </c>
    </row>
    <row r="158" spans="1:23" hidden="1">
      <c r="A158" s="15" t="s">
        <v>610</v>
      </c>
      <c r="B158" s="15" t="s">
        <v>611</v>
      </c>
      <c r="C158" s="2" t="s">
        <v>132</v>
      </c>
      <c r="D158" s="2" t="s">
        <v>500</v>
      </c>
      <c r="E158" s="2" t="str">
        <f t="shared" si="17"/>
        <v>XSE</v>
      </c>
      <c r="G158" s="15"/>
      <c r="H158" s="15" t="str">
        <f t="shared" si="15"/>
        <v>.</v>
      </c>
      <c r="I158" s="2" t="str">
        <f t="shared" si="14"/>
        <v/>
      </c>
      <c r="J158" s="2" t="s">
        <v>132</v>
      </c>
      <c r="K158" s="2" t="s">
        <v>635</v>
      </c>
      <c r="L158" s="2" t="str">
        <f>VLOOKUP(J158,C158:$E$248,3,FALSE)</f>
        <v>XSE</v>
      </c>
      <c r="M158" s="2" t="str">
        <f t="shared" si="16"/>
        <v>"Malaysia "</v>
      </c>
      <c r="S158" s="2" t="s">
        <v>173</v>
      </c>
      <c r="T158" s="2" t="s">
        <v>860</v>
      </c>
      <c r="U158" s="2" t="str">
        <f t="shared" si="18"/>
        <v>XE25</v>
      </c>
      <c r="V158" s="2" t="str">
        <f t="shared" si="19"/>
        <v>"Poland"</v>
      </c>
      <c r="W158" s="2" t="s">
        <v>791</v>
      </c>
    </row>
    <row r="159" spans="1:23" hidden="1">
      <c r="A159" s="15" t="s">
        <v>623</v>
      </c>
      <c r="B159" s="15" t="s">
        <v>624</v>
      </c>
      <c r="C159" s="2" t="s">
        <v>140</v>
      </c>
      <c r="D159" s="2" t="s">
        <v>501</v>
      </c>
      <c r="E159" s="2" t="str">
        <f t="shared" si="17"/>
        <v>XAF</v>
      </c>
      <c r="G159" s="15"/>
      <c r="H159" s="15" t="e">
        <f t="shared" si="15"/>
        <v>#N/A</v>
      </c>
      <c r="I159" s="2" t="str">
        <f t="shared" si="14"/>
        <v/>
      </c>
      <c r="J159" s="2" t="s">
        <v>140</v>
      </c>
      <c r="K159" s="2" t="s">
        <v>635</v>
      </c>
      <c r="L159" s="2" t="str">
        <f>VLOOKUP(J159,C159:$E$248,3,FALSE)</f>
        <v>XAF</v>
      </c>
      <c r="M159" s="2" t="str">
        <f t="shared" si="16"/>
        <v>"Mayotte "</v>
      </c>
      <c r="S159" s="2" t="s">
        <v>174</v>
      </c>
      <c r="T159" s="2" t="s">
        <v>860</v>
      </c>
      <c r="U159" s="2" t="str">
        <f t="shared" si="18"/>
        <v>XE25</v>
      </c>
      <c r="V159" s="2" t="str">
        <f t="shared" si="19"/>
        <v>"Portugal"</v>
      </c>
      <c r="W159" s="2" t="s">
        <v>792</v>
      </c>
    </row>
    <row r="160" spans="1:23" hidden="1">
      <c r="A160" s="15" t="s">
        <v>623</v>
      </c>
      <c r="B160" s="15" t="s">
        <v>624</v>
      </c>
      <c r="C160" s="2" t="s">
        <v>150</v>
      </c>
      <c r="D160" s="2" t="s">
        <v>502</v>
      </c>
      <c r="E160" s="2" t="str">
        <f t="shared" si="17"/>
        <v>XAF</v>
      </c>
      <c r="G160" s="15"/>
      <c r="H160" s="15" t="str">
        <f t="shared" si="15"/>
        <v>.</v>
      </c>
      <c r="I160" s="2" t="str">
        <f t="shared" si="14"/>
        <v/>
      </c>
      <c r="J160" s="2" t="s">
        <v>150</v>
      </c>
      <c r="K160" s="2" t="s">
        <v>635</v>
      </c>
      <c r="L160" s="2" t="str">
        <f>VLOOKUP(J160,C160:$E$248,3,FALSE)</f>
        <v>XAF</v>
      </c>
      <c r="M160" s="2" t="str">
        <f t="shared" si="16"/>
        <v>"Namibia "</v>
      </c>
      <c r="S160" s="2" t="s">
        <v>175</v>
      </c>
      <c r="T160" s="2" t="s">
        <v>860</v>
      </c>
      <c r="U160" s="2" t="str">
        <f t="shared" si="18"/>
        <v>XLM</v>
      </c>
      <c r="V160" s="2" t="str">
        <f t="shared" si="19"/>
        <v>"Puerto Rico"</v>
      </c>
      <c r="W160" s="2" t="s">
        <v>793</v>
      </c>
    </row>
    <row r="161" spans="1:23">
      <c r="A161" s="15" t="s">
        <v>612</v>
      </c>
      <c r="B161" s="15" t="s">
        <v>613</v>
      </c>
      <c r="C161" s="2" t="s">
        <v>155</v>
      </c>
      <c r="D161" s="2" t="s">
        <v>503</v>
      </c>
      <c r="E161" s="2" t="str">
        <f t="shared" si="17"/>
        <v>XSA</v>
      </c>
      <c r="G161" s="15"/>
      <c r="H161" s="15" t="str">
        <f t="shared" si="15"/>
        <v>.</v>
      </c>
      <c r="J161" s="2" t="s">
        <v>155</v>
      </c>
      <c r="K161" s="2" t="s">
        <v>635</v>
      </c>
      <c r="L161" s="2" t="str">
        <f>VLOOKUP(J161,C161:$E$248,3,FALSE)</f>
        <v>XSA</v>
      </c>
      <c r="M161" s="2" t="str">
        <f t="shared" si="16"/>
        <v>"New Caledonia "</v>
      </c>
      <c r="S161" s="2" t="s">
        <v>176</v>
      </c>
      <c r="T161" s="2" t="s">
        <v>860</v>
      </c>
      <c r="U161" s="2" t="str">
        <f t="shared" si="18"/>
        <v>XME</v>
      </c>
      <c r="V161" s="2" t="str">
        <f t="shared" si="19"/>
        <v>"Qatar"</v>
      </c>
      <c r="W161" s="2" t="s">
        <v>794</v>
      </c>
    </row>
    <row r="162" spans="1:23" hidden="1">
      <c r="A162" s="15" t="s">
        <v>623</v>
      </c>
      <c r="B162" s="15" t="s">
        <v>624</v>
      </c>
      <c r="C162" s="2" t="s">
        <v>158</v>
      </c>
      <c r="D162" s="2" t="s">
        <v>504</v>
      </c>
      <c r="E162" s="2" t="str">
        <f t="shared" si="17"/>
        <v>XAF</v>
      </c>
      <c r="G162" s="15"/>
      <c r="H162" s="15" t="str">
        <f t="shared" si="15"/>
        <v>.</v>
      </c>
      <c r="I162" s="2" t="str">
        <f t="shared" ref="I162:I176" si="20">IF(L162="#N/A","*","")</f>
        <v/>
      </c>
      <c r="J162" s="2" t="s">
        <v>158</v>
      </c>
      <c r="K162" s="2" t="s">
        <v>635</v>
      </c>
      <c r="L162" s="2" t="str">
        <f>VLOOKUP(J162,C162:$E$248,3,FALSE)</f>
        <v>XAF</v>
      </c>
      <c r="M162" s="2" t="str">
        <f t="shared" si="16"/>
        <v>"Niger "</v>
      </c>
      <c r="S162" s="2" t="s">
        <v>178</v>
      </c>
      <c r="T162" s="2" t="s">
        <v>860</v>
      </c>
      <c r="U162" s="2" t="str">
        <f t="shared" si="18"/>
        <v>XER</v>
      </c>
      <c r="V162" s="2" t="str">
        <f t="shared" si="19"/>
        <v>"Romania"</v>
      </c>
      <c r="W162" s="2" t="s">
        <v>795</v>
      </c>
    </row>
    <row r="163" spans="1:23">
      <c r="A163" s="15" t="s">
        <v>612</v>
      </c>
      <c r="B163" s="15" t="s">
        <v>613</v>
      </c>
      <c r="C163" s="2" t="s">
        <v>161</v>
      </c>
      <c r="D163" s="2" t="s">
        <v>505</v>
      </c>
      <c r="E163" s="2" t="str">
        <f t="shared" si="17"/>
        <v>XSA</v>
      </c>
      <c r="G163" s="15"/>
      <c r="H163" s="15" t="e">
        <f t="shared" si="15"/>
        <v>#N/A</v>
      </c>
      <c r="I163" s="2" t="str">
        <f t="shared" si="20"/>
        <v/>
      </c>
      <c r="J163" s="2" t="s">
        <v>161</v>
      </c>
      <c r="K163" s="2" t="s">
        <v>635</v>
      </c>
      <c r="L163" s="2" t="str">
        <f>VLOOKUP(J163,C163:$E$248,3,FALSE)</f>
        <v>XSA</v>
      </c>
      <c r="M163" s="2" t="str">
        <f t="shared" si="16"/>
        <v>"Norfolk Island "</v>
      </c>
      <c r="S163" s="2" t="s">
        <v>179</v>
      </c>
      <c r="T163" s="2" t="s">
        <v>860</v>
      </c>
      <c r="U163" s="2" t="str">
        <f t="shared" si="18"/>
        <v>CIS</v>
      </c>
      <c r="V163" s="2" t="str">
        <f t="shared" si="19"/>
        <v>"Russian Federation"</v>
      </c>
      <c r="W163" s="2" t="s">
        <v>254</v>
      </c>
    </row>
    <row r="164" spans="1:23" hidden="1">
      <c r="A164" s="15" t="s">
        <v>623</v>
      </c>
      <c r="B164" s="15" t="s">
        <v>624</v>
      </c>
      <c r="C164" s="2" t="s">
        <v>159</v>
      </c>
      <c r="D164" s="2" t="s">
        <v>506</v>
      </c>
      <c r="E164" s="2" t="str">
        <f t="shared" si="17"/>
        <v>XAF</v>
      </c>
      <c r="G164" s="15"/>
      <c r="H164" s="15" t="str">
        <f t="shared" si="15"/>
        <v>.</v>
      </c>
      <c r="I164" s="2" t="str">
        <f t="shared" si="20"/>
        <v/>
      </c>
      <c r="J164" s="2" t="s">
        <v>159</v>
      </c>
      <c r="K164" s="2" t="s">
        <v>635</v>
      </c>
      <c r="L164" s="2" t="str">
        <f>VLOOKUP(J164,C164:$E$248,3,FALSE)</f>
        <v>XAF</v>
      </c>
      <c r="M164" s="2" t="str">
        <f t="shared" si="16"/>
        <v>"Nigeria "</v>
      </c>
      <c r="S164" s="2" t="s">
        <v>180</v>
      </c>
      <c r="T164" s="2" t="s">
        <v>860</v>
      </c>
      <c r="U164" s="2" t="str">
        <f t="shared" si="18"/>
        <v>XAF</v>
      </c>
      <c r="V164" s="2" t="str">
        <f t="shared" si="19"/>
        <v>"Rwanda"</v>
      </c>
      <c r="W164" s="2" t="s">
        <v>796</v>
      </c>
    </row>
    <row r="165" spans="1:23" hidden="1">
      <c r="A165" s="15" t="s">
        <v>615</v>
      </c>
      <c r="B165" s="15" t="s">
        <v>616</v>
      </c>
      <c r="C165" s="2" t="s">
        <v>157</v>
      </c>
      <c r="D165" s="2" t="s">
        <v>507</v>
      </c>
      <c r="E165" s="2" t="str">
        <f t="shared" si="17"/>
        <v>XLM</v>
      </c>
      <c r="G165" s="15"/>
      <c r="H165" s="15" t="str">
        <f t="shared" si="15"/>
        <v>.</v>
      </c>
      <c r="I165" s="2" t="str">
        <f t="shared" si="20"/>
        <v/>
      </c>
      <c r="J165" s="2" t="s">
        <v>157</v>
      </c>
      <c r="K165" s="2" t="s">
        <v>635</v>
      </c>
      <c r="L165" s="2" t="str">
        <f>VLOOKUP(J165,C165:$E$248,3,FALSE)</f>
        <v>XLM</v>
      </c>
      <c r="M165" s="2" t="str">
        <f t="shared" si="16"/>
        <v>"Nicaragua "</v>
      </c>
      <c r="S165" s="2" t="s">
        <v>186</v>
      </c>
      <c r="T165" s="2" t="s">
        <v>860</v>
      </c>
      <c r="U165" s="2" t="str">
        <f t="shared" si="18"/>
        <v>XSA</v>
      </c>
      <c r="V165" s="2" t="str">
        <f t="shared" si="19"/>
        <v>"Samoa"</v>
      </c>
      <c r="W165" s="2" t="s">
        <v>797</v>
      </c>
    </row>
    <row r="166" spans="1:23">
      <c r="A166" s="15" t="s">
        <v>612</v>
      </c>
      <c r="B166" s="15" t="s">
        <v>613</v>
      </c>
      <c r="C166" s="2" t="s">
        <v>160</v>
      </c>
      <c r="D166" s="2" t="s">
        <v>508</v>
      </c>
      <c r="E166" s="2" t="str">
        <f t="shared" si="17"/>
        <v>XSA</v>
      </c>
      <c r="G166" s="15"/>
      <c r="H166" s="15" t="e">
        <f t="shared" si="15"/>
        <v>#N/A</v>
      </c>
      <c r="I166" s="2" t="str">
        <f t="shared" si="20"/>
        <v/>
      </c>
      <c r="J166" s="2" t="s">
        <v>160</v>
      </c>
      <c r="K166" s="2" t="s">
        <v>635</v>
      </c>
      <c r="L166" s="2" t="str">
        <f>VLOOKUP(J166,C166:$E$248,3,FALSE)</f>
        <v>XSA</v>
      </c>
      <c r="M166" s="2" t="str">
        <f t="shared" si="16"/>
        <v>"Niue "</v>
      </c>
      <c r="S166" s="2" t="s">
        <v>187</v>
      </c>
      <c r="T166" s="2" t="s">
        <v>860</v>
      </c>
      <c r="U166" s="2" t="str">
        <f t="shared" si="18"/>
        <v>XER</v>
      </c>
      <c r="V166" s="2" t="str">
        <f t="shared" si="19"/>
        <v>"San Marino"</v>
      </c>
      <c r="W166" s="2" t="s">
        <v>798</v>
      </c>
    </row>
    <row r="167" spans="1:23" hidden="1">
      <c r="A167" s="15" t="s">
        <v>602</v>
      </c>
      <c r="B167" s="15" t="s">
        <v>240</v>
      </c>
      <c r="C167" s="2" t="s">
        <v>153</v>
      </c>
      <c r="D167" s="2" t="s">
        <v>509</v>
      </c>
      <c r="E167" s="2" t="str">
        <f t="shared" si="17"/>
        <v>XE25</v>
      </c>
      <c r="G167" s="15"/>
      <c r="H167" s="15" t="str">
        <f t="shared" si="15"/>
        <v>.</v>
      </c>
      <c r="I167" s="2" t="str">
        <f t="shared" si="20"/>
        <v/>
      </c>
      <c r="J167" s="2" t="s">
        <v>153</v>
      </c>
      <c r="K167" s="2" t="s">
        <v>635</v>
      </c>
      <c r="L167" s="2" t="str">
        <f>VLOOKUP(J167,C167:$E$248,3,FALSE)</f>
        <v>XE25</v>
      </c>
      <c r="M167" s="2" t="str">
        <f t="shared" si="16"/>
        <v>"Netherlands "</v>
      </c>
      <c r="S167" s="2" t="s">
        <v>188</v>
      </c>
      <c r="T167" s="2" t="s">
        <v>860</v>
      </c>
      <c r="U167" s="2" t="str">
        <f t="shared" si="18"/>
        <v>XAF</v>
      </c>
      <c r="V167" s="2" t="str">
        <f t="shared" si="19"/>
        <v>"Sao Tome and Principe"</v>
      </c>
      <c r="W167" s="2" t="s">
        <v>799</v>
      </c>
    </row>
    <row r="168" spans="1:23" hidden="1">
      <c r="A168" s="15" t="s">
        <v>603</v>
      </c>
      <c r="B168" s="15" t="s">
        <v>604</v>
      </c>
      <c r="C168" s="2" t="s">
        <v>163</v>
      </c>
      <c r="D168" s="2" t="s">
        <v>510</v>
      </c>
      <c r="E168" s="2" t="str">
        <f t="shared" si="17"/>
        <v>XER</v>
      </c>
      <c r="G168" s="15"/>
      <c r="H168" s="15" t="str">
        <f t="shared" si="15"/>
        <v>.</v>
      </c>
      <c r="I168" s="2" t="str">
        <f t="shared" si="20"/>
        <v/>
      </c>
      <c r="J168" s="2" t="s">
        <v>163</v>
      </c>
      <c r="K168" s="2" t="s">
        <v>635</v>
      </c>
      <c r="L168" s="2" t="str">
        <f>VLOOKUP(J168,C168:$E$248,3,FALSE)</f>
        <v>XER</v>
      </c>
      <c r="M168" s="2" t="str">
        <f t="shared" si="16"/>
        <v>"Norway "</v>
      </c>
      <c r="S168" s="2" t="s">
        <v>189</v>
      </c>
      <c r="T168" s="2" t="s">
        <v>860</v>
      </c>
      <c r="U168" s="2" t="str">
        <f t="shared" si="18"/>
        <v>XME</v>
      </c>
      <c r="V168" s="2" t="str">
        <f t="shared" si="19"/>
        <v>"Saudi Arabia"</v>
      </c>
      <c r="W168" s="2" t="s">
        <v>800</v>
      </c>
    </row>
    <row r="169" spans="1:23">
      <c r="A169" s="15" t="s">
        <v>612</v>
      </c>
      <c r="B169" s="15" t="s">
        <v>613</v>
      </c>
      <c r="C169" s="2" t="s">
        <v>152</v>
      </c>
      <c r="D169" s="2" t="s">
        <v>511</v>
      </c>
      <c r="E169" s="2" t="str">
        <f t="shared" si="17"/>
        <v>XSA</v>
      </c>
      <c r="G169" s="15"/>
      <c r="H169" s="15" t="str">
        <f t="shared" si="15"/>
        <v>.</v>
      </c>
      <c r="I169" s="2" t="str">
        <f t="shared" si="20"/>
        <v/>
      </c>
      <c r="J169" s="2" t="s">
        <v>152</v>
      </c>
      <c r="K169" s="2" t="s">
        <v>635</v>
      </c>
      <c r="L169" s="2" t="str">
        <f>VLOOKUP(J169,C169:$E$248,3,FALSE)</f>
        <v>XSA</v>
      </c>
      <c r="M169" s="2" t="str">
        <f t="shared" si="16"/>
        <v>"Nepal "</v>
      </c>
      <c r="S169" s="2" t="s">
        <v>190</v>
      </c>
      <c r="T169" s="2" t="s">
        <v>860</v>
      </c>
      <c r="U169" s="2" t="str">
        <f t="shared" si="18"/>
        <v>XAF</v>
      </c>
      <c r="V169" s="2" t="str">
        <f t="shared" si="19"/>
        <v>"Senegal"</v>
      </c>
      <c r="W169" s="2" t="s">
        <v>801</v>
      </c>
    </row>
    <row r="170" spans="1:23">
      <c r="A170" s="15" t="s">
        <v>612</v>
      </c>
      <c r="B170" s="15" t="s">
        <v>613</v>
      </c>
      <c r="C170" s="2" t="s">
        <v>151</v>
      </c>
      <c r="D170" s="2" t="s">
        <v>512</v>
      </c>
      <c r="E170" s="2" t="str">
        <f t="shared" si="17"/>
        <v>XSA</v>
      </c>
      <c r="G170" s="15"/>
      <c r="H170" s="15" t="str">
        <f t="shared" si="15"/>
        <v>.</v>
      </c>
      <c r="I170" s="2" t="str">
        <f t="shared" si="20"/>
        <v/>
      </c>
      <c r="J170" s="2" t="s">
        <v>151</v>
      </c>
      <c r="K170" s="2" t="s">
        <v>635</v>
      </c>
      <c r="L170" s="2" t="str">
        <f>VLOOKUP(J170,C170:$E$248,3,FALSE)</f>
        <v>XSA</v>
      </c>
      <c r="M170" s="2" t="str">
        <f t="shared" si="16"/>
        <v>"Nauru "</v>
      </c>
      <c r="S170" s="2" t="s">
        <v>264</v>
      </c>
      <c r="T170" s="2" t="s">
        <v>860</v>
      </c>
      <c r="U170" s="2" t="str">
        <f t="shared" si="18"/>
        <v>XER</v>
      </c>
      <c r="V170" s="2" t="str">
        <f t="shared" si="19"/>
        <v>"Serbia"</v>
      </c>
      <c r="W170" s="2" t="s">
        <v>802</v>
      </c>
    </row>
    <row r="171" spans="1:23" hidden="1">
      <c r="A171" s="15" t="s">
        <v>606</v>
      </c>
      <c r="B171" s="15" t="s">
        <v>607</v>
      </c>
      <c r="C171" s="2" t="s">
        <v>156</v>
      </c>
      <c r="D171" s="2" t="s">
        <v>513</v>
      </c>
      <c r="E171" s="2" t="str">
        <f t="shared" si="17"/>
        <v>XOC</v>
      </c>
      <c r="G171" s="15"/>
      <c r="H171" s="15" t="str">
        <f t="shared" si="15"/>
        <v>.</v>
      </c>
      <c r="I171" s="2" t="str">
        <f t="shared" si="20"/>
        <v/>
      </c>
      <c r="J171" s="2" t="s">
        <v>156</v>
      </c>
      <c r="K171" s="2" t="s">
        <v>635</v>
      </c>
      <c r="L171" s="2" t="str">
        <f>VLOOKUP(J171,C171:$E$248,3,FALSE)</f>
        <v>XOC</v>
      </c>
      <c r="M171" s="2" t="str">
        <f t="shared" si="16"/>
        <v>"New Zealand "</v>
      </c>
      <c r="S171" s="2" t="s">
        <v>191</v>
      </c>
      <c r="T171" s="2" t="s">
        <v>860</v>
      </c>
      <c r="U171" s="2" t="str">
        <f t="shared" si="18"/>
        <v>XAF</v>
      </c>
      <c r="V171" s="2" t="str">
        <f t="shared" si="19"/>
        <v>"Seychelles"</v>
      </c>
      <c r="W171" s="2" t="s">
        <v>803</v>
      </c>
    </row>
    <row r="172" spans="1:23" hidden="1">
      <c r="A172" s="15" t="s">
        <v>619</v>
      </c>
      <c r="B172" s="15" t="s">
        <v>620</v>
      </c>
      <c r="C172" s="2" t="s">
        <v>164</v>
      </c>
      <c r="D172" s="2" t="s">
        <v>514</v>
      </c>
      <c r="E172" s="2" t="str">
        <f t="shared" si="17"/>
        <v>XME</v>
      </c>
      <c r="G172" s="15"/>
      <c r="H172" s="15" t="str">
        <f t="shared" si="15"/>
        <v>.</v>
      </c>
      <c r="I172" s="2" t="str">
        <f t="shared" si="20"/>
        <v/>
      </c>
      <c r="J172" s="2" t="s">
        <v>164</v>
      </c>
      <c r="K172" s="2" t="s">
        <v>635</v>
      </c>
      <c r="L172" s="2" t="str">
        <f>VLOOKUP(J172,C172:$E$248,3,FALSE)</f>
        <v>XME</v>
      </c>
      <c r="M172" s="2" t="str">
        <f t="shared" si="16"/>
        <v>"Oman "</v>
      </c>
      <c r="S172" s="2" t="s">
        <v>192</v>
      </c>
      <c r="T172" s="2" t="s">
        <v>860</v>
      </c>
      <c r="U172" s="2" t="str">
        <f t="shared" si="18"/>
        <v>XAF</v>
      </c>
      <c r="V172" s="2" t="str">
        <f t="shared" si="19"/>
        <v>"Sierra Leone"</v>
      </c>
      <c r="W172" s="2" t="s">
        <v>804</v>
      </c>
    </row>
    <row r="173" spans="1:23">
      <c r="A173" s="15" t="s">
        <v>612</v>
      </c>
      <c r="B173" s="15" t="s">
        <v>613</v>
      </c>
      <c r="C173" s="2" t="s">
        <v>165</v>
      </c>
      <c r="D173" s="2" t="s">
        <v>515</v>
      </c>
      <c r="E173" s="2" t="str">
        <f t="shared" si="17"/>
        <v>XSA</v>
      </c>
      <c r="G173" s="15"/>
      <c r="H173" s="15" t="str">
        <f t="shared" si="15"/>
        <v>.</v>
      </c>
      <c r="I173" s="2" t="str">
        <f t="shared" si="20"/>
        <v/>
      </c>
      <c r="J173" s="2" t="s">
        <v>165</v>
      </c>
      <c r="K173" s="2" t="s">
        <v>635</v>
      </c>
      <c r="L173" s="2" t="str">
        <f>VLOOKUP(J173,C173:$E$248,3,FALSE)</f>
        <v>XSA</v>
      </c>
      <c r="M173" s="2" t="str">
        <f t="shared" si="16"/>
        <v>"Pakistan "</v>
      </c>
      <c r="S173" s="2" t="s">
        <v>193</v>
      </c>
      <c r="T173" s="2" t="s">
        <v>860</v>
      </c>
      <c r="U173" s="2" t="str">
        <f t="shared" si="18"/>
        <v>XSE</v>
      </c>
      <c r="V173" s="2" t="str">
        <f t="shared" si="19"/>
        <v>"Singapore"</v>
      </c>
      <c r="W173" s="2" t="s">
        <v>805</v>
      </c>
    </row>
    <row r="174" spans="1:23" hidden="1">
      <c r="A174" s="15" t="s">
        <v>615</v>
      </c>
      <c r="B174" s="15" t="s">
        <v>616</v>
      </c>
      <c r="C174" s="2" t="s">
        <v>167</v>
      </c>
      <c r="D174" s="2" t="s">
        <v>516</v>
      </c>
      <c r="E174" s="2" t="str">
        <f t="shared" si="17"/>
        <v>XLM</v>
      </c>
      <c r="G174" s="15"/>
      <c r="H174" s="15" t="str">
        <f t="shared" si="15"/>
        <v>.</v>
      </c>
      <c r="I174" s="2" t="str">
        <f t="shared" si="20"/>
        <v/>
      </c>
      <c r="J174" s="2" t="s">
        <v>167</v>
      </c>
      <c r="K174" s="2" t="s">
        <v>635</v>
      </c>
      <c r="L174" s="2" t="str">
        <f>VLOOKUP(J174,C174:$E$248,3,FALSE)</f>
        <v>XLM</v>
      </c>
      <c r="M174" s="2" t="str">
        <f t="shared" si="16"/>
        <v>"Panama "</v>
      </c>
      <c r="S174" s="2" t="s">
        <v>806</v>
      </c>
      <c r="T174" s="2" t="s">
        <v>860</v>
      </c>
      <c r="U174" s="2" t="s">
        <v>853</v>
      </c>
      <c r="V174" s="2" t="str">
        <f t="shared" si="19"/>
        <v>"Sint Maarten (Dutch part)"</v>
      </c>
      <c r="W174" s="2" t="s">
        <v>807</v>
      </c>
    </row>
    <row r="175" spans="1:23">
      <c r="A175" s="15" t="s">
        <v>612</v>
      </c>
      <c r="B175" s="15" t="s">
        <v>613</v>
      </c>
      <c r="C175" s="2" t="s">
        <v>172</v>
      </c>
      <c r="D175" s="2" t="s">
        <v>517</v>
      </c>
      <c r="E175" s="2" t="str">
        <f t="shared" si="17"/>
        <v>XSA</v>
      </c>
      <c r="G175" s="15"/>
      <c r="H175" s="15" t="e">
        <f t="shared" si="15"/>
        <v>#N/A</v>
      </c>
      <c r="I175" s="2" t="str">
        <f t="shared" si="20"/>
        <v/>
      </c>
      <c r="J175" s="2" t="s">
        <v>172</v>
      </c>
      <c r="K175" s="2" t="s">
        <v>635</v>
      </c>
      <c r="L175" s="2" t="str">
        <f>VLOOKUP(J175,C175:$E$248,3,FALSE)</f>
        <v>XSA</v>
      </c>
      <c r="M175" s="2" t="str">
        <f t="shared" si="16"/>
        <v>"Pitcairn "</v>
      </c>
      <c r="S175" s="2" t="s">
        <v>194</v>
      </c>
      <c r="T175" s="2" t="s">
        <v>860</v>
      </c>
      <c r="U175" s="2" t="str">
        <f t="shared" si="18"/>
        <v>XE25</v>
      </c>
      <c r="V175" s="2" t="str">
        <f t="shared" si="19"/>
        <v>"Slovak Republic"</v>
      </c>
      <c r="W175" s="2" t="s">
        <v>808</v>
      </c>
    </row>
    <row r="176" spans="1:23" hidden="1">
      <c r="A176" s="15" t="s">
        <v>615</v>
      </c>
      <c r="B176" s="15" t="s">
        <v>616</v>
      </c>
      <c r="C176" s="2" t="s">
        <v>170</v>
      </c>
      <c r="D176" s="2" t="s">
        <v>518</v>
      </c>
      <c r="E176" s="2" t="str">
        <f t="shared" si="17"/>
        <v>XLM</v>
      </c>
      <c r="G176" s="15"/>
      <c r="H176" s="15" t="str">
        <f t="shared" si="15"/>
        <v>.</v>
      </c>
      <c r="I176" s="2" t="str">
        <f t="shared" si="20"/>
        <v/>
      </c>
      <c r="J176" s="2" t="s">
        <v>170</v>
      </c>
      <c r="K176" s="2" t="s">
        <v>635</v>
      </c>
      <c r="L176" s="2" t="str">
        <f>VLOOKUP(J176,C176:$E$248,3,FALSE)</f>
        <v>XLM</v>
      </c>
      <c r="M176" s="2" t="str">
        <f t="shared" si="16"/>
        <v>"Peru "</v>
      </c>
      <c r="S176" s="2" t="s">
        <v>195</v>
      </c>
      <c r="T176" s="2" t="s">
        <v>860</v>
      </c>
      <c r="U176" s="2" t="str">
        <f t="shared" si="18"/>
        <v>XE25</v>
      </c>
      <c r="V176" s="2" t="str">
        <f t="shared" si="19"/>
        <v>"Slovenia"</v>
      </c>
      <c r="W176" s="2" t="s">
        <v>809</v>
      </c>
    </row>
    <row r="177" spans="1:23" hidden="1">
      <c r="A177" s="15" t="s">
        <v>610</v>
      </c>
      <c r="B177" s="15" t="s">
        <v>611</v>
      </c>
      <c r="C177" s="2" t="s">
        <v>171</v>
      </c>
      <c r="D177" s="2" t="s">
        <v>519</v>
      </c>
      <c r="E177" s="2" t="str">
        <f t="shared" si="17"/>
        <v>XSE</v>
      </c>
      <c r="G177" s="15"/>
      <c r="H177" s="15" t="str">
        <f t="shared" si="15"/>
        <v>.</v>
      </c>
      <c r="J177" s="2" t="s">
        <v>171</v>
      </c>
      <c r="K177" s="2" t="s">
        <v>635</v>
      </c>
      <c r="L177" s="2" t="str">
        <f>VLOOKUP(J177,C177:$E$248,3,FALSE)</f>
        <v>XSE</v>
      </c>
      <c r="M177" s="2" t="str">
        <f t="shared" si="16"/>
        <v>"Philippines "</v>
      </c>
      <c r="S177" s="2" t="s">
        <v>196</v>
      </c>
      <c r="T177" s="2" t="s">
        <v>860</v>
      </c>
      <c r="U177" s="2" t="str">
        <f t="shared" si="18"/>
        <v>XSA</v>
      </c>
      <c r="V177" s="2" t="str">
        <f t="shared" si="19"/>
        <v>"Solomon Islands"</v>
      </c>
      <c r="W177" s="2" t="s">
        <v>810</v>
      </c>
    </row>
    <row r="178" spans="1:23">
      <c r="A178" s="15" t="s">
        <v>612</v>
      </c>
      <c r="B178" s="15" t="s">
        <v>613</v>
      </c>
      <c r="C178" s="2" t="s">
        <v>166</v>
      </c>
      <c r="D178" s="2" t="s">
        <v>520</v>
      </c>
      <c r="E178" s="2" t="str">
        <f t="shared" si="17"/>
        <v>XSA</v>
      </c>
      <c r="G178" s="15"/>
      <c r="H178" s="15" t="str">
        <f t="shared" si="15"/>
        <v>.</v>
      </c>
      <c r="I178" s="2" t="str">
        <f t="shared" ref="I178:I213" si="21">IF(L178="#N/A","*","")</f>
        <v/>
      </c>
      <c r="J178" s="2" t="s">
        <v>166</v>
      </c>
      <c r="K178" s="2" t="s">
        <v>635</v>
      </c>
      <c r="L178" s="2" t="str">
        <f>VLOOKUP(J178,C178:$E$248,3,FALSE)</f>
        <v>XSA</v>
      </c>
      <c r="M178" s="2" t="str">
        <f t="shared" si="16"/>
        <v>"Palau "</v>
      </c>
      <c r="S178" s="2" t="s">
        <v>197</v>
      </c>
      <c r="T178" s="2" t="s">
        <v>860</v>
      </c>
      <c r="U178" s="2" t="str">
        <f t="shared" si="18"/>
        <v>XAF</v>
      </c>
      <c r="V178" s="2" t="str">
        <f t="shared" si="19"/>
        <v>"Somalia"</v>
      </c>
      <c r="W178" s="2" t="s">
        <v>811</v>
      </c>
    </row>
    <row r="179" spans="1:23">
      <c r="A179" s="15" t="s">
        <v>612</v>
      </c>
      <c r="B179" s="15" t="s">
        <v>613</v>
      </c>
      <c r="C179" s="2" t="s">
        <v>168</v>
      </c>
      <c r="D179" s="2" t="s">
        <v>521</v>
      </c>
      <c r="E179" s="2" t="str">
        <f t="shared" si="17"/>
        <v>XSA</v>
      </c>
      <c r="G179" s="15"/>
      <c r="H179" s="15" t="str">
        <f t="shared" si="15"/>
        <v>.</v>
      </c>
      <c r="I179" s="2" t="str">
        <f t="shared" si="21"/>
        <v/>
      </c>
      <c r="J179" s="2" t="s">
        <v>168</v>
      </c>
      <c r="K179" s="2" t="s">
        <v>635</v>
      </c>
      <c r="L179" s="2" t="str">
        <f>VLOOKUP(J179,C179:$E$248,3,FALSE)</f>
        <v>XSA</v>
      </c>
      <c r="M179" s="2" t="str">
        <f t="shared" si="16"/>
        <v>"Papua New Guinea "</v>
      </c>
      <c r="S179" s="2" t="s">
        <v>198</v>
      </c>
      <c r="T179" s="2" t="s">
        <v>860</v>
      </c>
      <c r="U179" s="2" t="str">
        <f t="shared" si="18"/>
        <v>XAF</v>
      </c>
      <c r="V179" s="2" t="str">
        <f t="shared" si="19"/>
        <v>"South Africa"</v>
      </c>
      <c r="W179" s="2" t="s">
        <v>812</v>
      </c>
    </row>
    <row r="180" spans="1:23" hidden="1">
      <c r="A180" s="15" t="s">
        <v>602</v>
      </c>
      <c r="B180" s="15" t="s">
        <v>240</v>
      </c>
      <c r="C180" s="2" t="s">
        <v>173</v>
      </c>
      <c r="D180" s="2" t="s">
        <v>522</v>
      </c>
      <c r="E180" s="2" t="str">
        <f t="shared" si="17"/>
        <v>XE25</v>
      </c>
      <c r="G180" s="15"/>
      <c r="H180" s="15" t="str">
        <f t="shared" si="15"/>
        <v>.</v>
      </c>
      <c r="I180" s="2" t="str">
        <f t="shared" si="21"/>
        <v/>
      </c>
      <c r="J180" s="2" t="s">
        <v>173</v>
      </c>
      <c r="K180" s="2" t="s">
        <v>635</v>
      </c>
      <c r="L180" s="2" t="str">
        <f>VLOOKUP(J180,C180:$E$248,3,FALSE)</f>
        <v>XE25</v>
      </c>
      <c r="M180" s="2" t="str">
        <f t="shared" si="16"/>
        <v>"Poland "</v>
      </c>
      <c r="S180" s="2" t="s">
        <v>549</v>
      </c>
      <c r="T180" s="2" t="s">
        <v>860</v>
      </c>
      <c r="U180" s="2" t="str">
        <f t="shared" si="18"/>
        <v>XAF</v>
      </c>
      <c r="V180" s="2" t="str">
        <f t="shared" si="19"/>
        <v>"South Sudan"</v>
      </c>
      <c r="W180" s="2" t="s">
        <v>550</v>
      </c>
    </row>
    <row r="181" spans="1:23" hidden="1">
      <c r="A181" s="15" t="s">
        <v>615</v>
      </c>
      <c r="B181" s="15" t="s">
        <v>616</v>
      </c>
      <c r="C181" s="2" t="s">
        <v>175</v>
      </c>
      <c r="D181" s="2" t="s">
        <v>523</v>
      </c>
      <c r="E181" s="2" t="str">
        <f t="shared" si="17"/>
        <v>XLM</v>
      </c>
      <c r="G181" s="15"/>
      <c r="H181" s="15" t="str">
        <f t="shared" si="15"/>
        <v>.</v>
      </c>
      <c r="I181" s="2" t="str">
        <f t="shared" si="21"/>
        <v/>
      </c>
      <c r="J181" s="2" t="s">
        <v>175</v>
      </c>
      <c r="K181" s="2" t="s">
        <v>635</v>
      </c>
      <c r="L181" s="2" t="str">
        <f>VLOOKUP(J181,C181:$E$248,3,FALSE)</f>
        <v>XLM</v>
      </c>
      <c r="M181" s="2" t="str">
        <f t="shared" si="16"/>
        <v>"Puerto Rico "</v>
      </c>
      <c r="S181" s="2" t="s">
        <v>200</v>
      </c>
      <c r="T181" s="2" t="s">
        <v>860</v>
      </c>
      <c r="U181" s="2" t="str">
        <f t="shared" si="18"/>
        <v>XE25</v>
      </c>
      <c r="V181" s="2" t="str">
        <f t="shared" si="19"/>
        <v>"Spain"</v>
      </c>
      <c r="W181" s="2" t="s">
        <v>813</v>
      </c>
    </row>
    <row r="182" spans="1:23" hidden="1">
      <c r="A182" s="15" t="s">
        <v>610</v>
      </c>
      <c r="B182" s="15" t="s">
        <v>611</v>
      </c>
      <c r="C182" s="2" t="s">
        <v>115</v>
      </c>
      <c r="D182" s="2" t="s">
        <v>524</v>
      </c>
      <c r="E182" s="2" t="str">
        <f t="shared" si="17"/>
        <v>XSE</v>
      </c>
      <c r="G182" s="15"/>
      <c r="H182" s="15" t="str">
        <f t="shared" si="15"/>
        <v>.</v>
      </c>
      <c r="I182" s="2" t="str">
        <f t="shared" si="21"/>
        <v/>
      </c>
      <c r="J182" s="2" t="s">
        <v>115</v>
      </c>
      <c r="K182" s="2" t="s">
        <v>635</v>
      </c>
      <c r="L182" s="2" t="str">
        <f>VLOOKUP(J182,C182:$E$248,3,FALSE)</f>
        <v>XSE</v>
      </c>
      <c r="M182" s="2" t="str">
        <f t="shared" si="16"/>
        <v>"Korea, Democratic People's Republic of "</v>
      </c>
      <c r="S182" s="2" t="s">
        <v>201</v>
      </c>
      <c r="T182" s="2" t="s">
        <v>860</v>
      </c>
      <c r="U182" s="2" t="str">
        <f t="shared" si="18"/>
        <v>XSA</v>
      </c>
      <c r="V182" s="2" t="str">
        <f t="shared" si="19"/>
        <v>"Sri Lanka"</v>
      </c>
      <c r="W182" s="2" t="s">
        <v>814</v>
      </c>
    </row>
    <row r="183" spans="1:23" hidden="1">
      <c r="A183" s="15" t="s">
        <v>602</v>
      </c>
      <c r="B183" s="15" t="s">
        <v>240</v>
      </c>
      <c r="C183" s="2" t="s">
        <v>174</v>
      </c>
      <c r="D183" s="2" t="s">
        <v>525</v>
      </c>
      <c r="E183" s="2" t="str">
        <f t="shared" si="17"/>
        <v>XE25</v>
      </c>
      <c r="G183" s="15"/>
      <c r="H183" s="15" t="str">
        <f t="shared" si="15"/>
        <v>.</v>
      </c>
      <c r="I183" s="2" t="str">
        <f t="shared" si="21"/>
        <v/>
      </c>
      <c r="J183" s="2" t="s">
        <v>174</v>
      </c>
      <c r="K183" s="2" t="s">
        <v>635</v>
      </c>
      <c r="L183" s="2" t="str">
        <f>VLOOKUP(J183,C183:$E$248,3,FALSE)</f>
        <v>XE25</v>
      </c>
      <c r="M183" s="2" t="str">
        <f t="shared" si="16"/>
        <v>"Portugal "</v>
      </c>
      <c r="S183" s="2" t="s">
        <v>182</v>
      </c>
      <c r="T183" s="2" t="s">
        <v>860</v>
      </c>
      <c r="U183" s="2" t="str">
        <f t="shared" si="18"/>
        <v>XLM</v>
      </c>
      <c r="V183" s="2" t="str">
        <f t="shared" si="19"/>
        <v>"St. Kitts and Nevis"</v>
      </c>
      <c r="W183" s="2" t="s">
        <v>815</v>
      </c>
    </row>
    <row r="184" spans="1:23" hidden="1">
      <c r="A184" s="15" t="s">
        <v>615</v>
      </c>
      <c r="B184" s="15" t="s">
        <v>616</v>
      </c>
      <c r="C184" s="2" t="s">
        <v>169</v>
      </c>
      <c r="D184" s="2" t="s">
        <v>526</v>
      </c>
      <c r="E184" s="2" t="str">
        <f t="shared" si="17"/>
        <v>XLM</v>
      </c>
      <c r="G184" s="15"/>
      <c r="H184" s="15" t="str">
        <f t="shared" si="15"/>
        <v>.</v>
      </c>
      <c r="I184" s="2" t="str">
        <f t="shared" si="21"/>
        <v/>
      </c>
      <c r="J184" s="2" t="s">
        <v>169</v>
      </c>
      <c r="K184" s="2" t="s">
        <v>635</v>
      </c>
      <c r="L184" s="2" t="str">
        <f>VLOOKUP(J184,C184:$E$248,3,FALSE)</f>
        <v>XLM</v>
      </c>
      <c r="M184" s="2" t="str">
        <f t="shared" si="16"/>
        <v>"Paraguay "</v>
      </c>
      <c r="S184" s="2" t="s">
        <v>183</v>
      </c>
      <c r="T184" s="2" t="s">
        <v>860</v>
      </c>
      <c r="U184" s="2" t="str">
        <f t="shared" si="18"/>
        <v>XLM</v>
      </c>
      <c r="V184" s="2" t="str">
        <f t="shared" si="19"/>
        <v>"St. Lucia"</v>
      </c>
      <c r="W184" s="2" t="s">
        <v>816</v>
      </c>
    </row>
    <row r="185" spans="1:23" hidden="1">
      <c r="A185" s="15" t="e">
        <v>#N/A</v>
      </c>
      <c r="B185" s="15" t="e">
        <v>#N/A</v>
      </c>
      <c r="C185" s="2" t="s">
        <v>527</v>
      </c>
      <c r="D185" s="2" t="s">
        <v>528</v>
      </c>
      <c r="E185" s="2" t="e">
        <f t="shared" si="17"/>
        <v>#N/A</v>
      </c>
      <c r="G185" s="15"/>
      <c r="H185" s="15" t="str">
        <f t="shared" si="15"/>
        <v>.</v>
      </c>
      <c r="I185" s="2" t="str">
        <f t="shared" si="21"/>
        <v/>
      </c>
      <c r="J185" s="2" t="s">
        <v>527</v>
      </c>
      <c r="K185" s="2" t="s">
        <v>635</v>
      </c>
      <c r="L185" s="2" t="s">
        <v>850</v>
      </c>
      <c r="M185" s="2" t="str">
        <f t="shared" si="16"/>
        <v>"Palestinian Territory, Occupied "</v>
      </c>
      <c r="S185" s="2" t="s">
        <v>478</v>
      </c>
      <c r="T185" s="2" t="s">
        <v>860</v>
      </c>
      <c r="U185" s="2" t="str">
        <f t="shared" si="18"/>
        <v>XLM</v>
      </c>
      <c r="V185" s="2" t="str">
        <f t="shared" si="19"/>
        <v>"St. Martin (French part)"</v>
      </c>
      <c r="W185" s="2" t="s">
        <v>817</v>
      </c>
    </row>
    <row r="186" spans="1:23">
      <c r="A186" s="15" t="s">
        <v>612</v>
      </c>
      <c r="B186" s="15" t="s">
        <v>613</v>
      </c>
      <c r="C186" s="2" t="s">
        <v>78</v>
      </c>
      <c r="D186" s="2" t="s">
        <v>529</v>
      </c>
      <c r="E186" s="2" t="str">
        <f t="shared" si="17"/>
        <v>XSA</v>
      </c>
      <c r="G186" s="15"/>
      <c r="H186" s="15" t="str">
        <f t="shared" si="15"/>
        <v>.</v>
      </c>
      <c r="I186" s="2" t="str">
        <f t="shared" si="21"/>
        <v/>
      </c>
      <c r="J186" s="2" t="s">
        <v>78</v>
      </c>
      <c r="K186" s="2" t="s">
        <v>635</v>
      </c>
      <c r="L186" s="2" t="str">
        <f>VLOOKUP(J186,C186:$E$248,3,FALSE)</f>
        <v>XSA</v>
      </c>
      <c r="M186" s="2" t="str">
        <f t="shared" si="16"/>
        <v>"French Polynesia "</v>
      </c>
      <c r="S186" s="2" t="s">
        <v>185</v>
      </c>
      <c r="T186" s="2" t="s">
        <v>860</v>
      </c>
      <c r="U186" s="2" t="str">
        <f t="shared" si="18"/>
        <v>XLM</v>
      </c>
      <c r="V186" s="2" t="str">
        <f t="shared" si="19"/>
        <v>"St. Vincent and the Grenadines"</v>
      </c>
      <c r="W186" s="2" t="s">
        <v>818</v>
      </c>
    </row>
    <row r="187" spans="1:23" hidden="1">
      <c r="A187" s="15" t="s">
        <v>619</v>
      </c>
      <c r="B187" s="15" t="s">
        <v>620</v>
      </c>
      <c r="C187" s="2" t="s">
        <v>176</v>
      </c>
      <c r="D187" s="2" t="s">
        <v>530</v>
      </c>
      <c r="E187" s="2" t="str">
        <f t="shared" si="17"/>
        <v>XME</v>
      </c>
      <c r="G187" s="15"/>
      <c r="H187" s="15" t="str">
        <f t="shared" si="15"/>
        <v>.</v>
      </c>
      <c r="I187" s="2" t="str">
        <f t="shared" si="21"/>
        <v/>
      </c>
      <c r="J187" s="2" t="s">
        <v>176</v>
      </c>
      <c r="K187" s="2" t="s">
        <v>635</v>
      </c>
      <c r="L187" s="2" t="str">
        <f>VLOOKUP(J187,C187:$E$248,3,FALSE)</f>
        <v>XME</v>
      </c>
      <c r="M187" s="2" t="str">
        <f t="shared" si="16"/>
        <v>"Qatar "</v>
      </c>
      <c r="S187" s="2" t="s">
        <v>202</v>
      </c>
      <c r="T187" s="2" t="s">
        <v>860</v>
      </c>
      <c r="U187" s="2" t="str">
        <f t="shared" si="18"/>
        <v>XAF</v>
      </c>
      <c r="V187" s="2" t="str">
        <f t="shared" si="19"/>
        <v>"Sudan"</v>
      </c>
      <c r="W187" s="2" t="s">
        <v>819</v>
      </c>
    </row>
    <row r="188" spans="1:23" hidden="1">
      <c r="A188" s="15" t="s">
        <v>623</v>
      </c>
      <c r="B188" s="15" t="s">
        <v>624</v>
      </c>
      <c r="C188" s="2" t="s">
        <v>177</v>
      </c>
      <c r="D188" s="2" t="s">
        <v>531</v>
      </c>
      <c r="E188" s="2" t="str">
        <f t="shared" si="17"/>
        <v>XAF</v>
      </c>
      <c r="G188" s="15"/>
      <c r="H188" s="15" t="e">
        <f t="shared" si="15"/>
        <v>#N/A</v>
      </c>
      <c r="I188" s="2" t="str">
        <f t="shared" si="21"/>
        <v/>
      </c>
      <c r="J188" s="2" t="s">
        <v>177</v>
      </c>
      <c r="K188" s="2" t="s">
        <v>635</v>
      </c>
      <c r="L188" s="2" t="str">
        <f>VLOOKUP(J188,C188:$E$248,3,FALSE)</f>
        <v>XAF</v>
      </c>
      <c r="M188" s="2" t="str">
        <f t="shared" si="16"/>
        <v>"Réunion "</v>
      </c>
      <c r="S188" s="2" t="s">
        <v>203</v>
      </c>
      <c r="T188" s="2" t="s">
        <v>860</v>
      </c>
      <c r="U188" s="2" t="str">
        <f t="shared" si="18"/>
        <v>XLM</v>
      </c>
      <c r="V188" s="2" t="str">
        <f t="shared" si="19"/>
        <v>"Suriname"</v>
      </c>
      <c r="W188" s="2" t="s">
        <v>820</v>
      </c>
    </row>
    <row r="189" spans="1:23" hidden="1">
      <c r="A189" s="15" t="s">
        <v>603</v>
      </c>
      <c r="B189" s="15" t="s">
        <v>604</v>
      </c>
      <c r="C189" s="2" t="s">
        <v>178</v>
      </c>
      <c r="D189" s="2" t="s">
        <v>532</v>
      </c>
      <c r="E189" s="2" t="str">
        <f t="shared" si="17"/>
        <v>XER</v>
      </c>
      <c r="G189" s="15"/>
      <c r="H189" s="15" t="str">
        <f t="shared" si="15"/>
        <v>.</v>
      </c>
      <c r="I189" s="2" t="str">
        <f t="shared" si="21"/>
        <v/>
      </c>
      <c r="J189" s="2" t="s">
        <v>178</v>
      </c>
      <c r="K189" s="2" t="s">
        <v>635</v>
      </c>
      <c r="L189" s="2" t="str">
        <f>VLOOKUP(J189,C189:$E$248,3,FALSE)</f>
        <v>XER</v>
      </c>
      <c r="M189" s="2" t="str">
        <f t="shared" si="16"/>
        <v>"Romania "</v>
      </c>
      <c r="S189" s="2" t="s">
        <v>206</v>
      </c>
      <c r="T189" s="2" t="s">
        <v>860</v>
      </c>
      <c r="U189" s="2" t="str">
        <f t="shared" si="18"/>
        <v>XE25</v>
      </c>
      <c r="V189" s="2" t="str">
        <f t="shared" si="19"/>
        <v>"Sweden"</v>
      </c>
      <c r="W189" s="2" t="s">
        <v>821</v>
      </c>
    </row>
    <row r="190" spans="1:23" hidden="1">
      <c r="A190" s="15" t="s">
        <v>617</v>
      </c>
      <c r="B190" s="15" t="s">
        <v>618</v>
      </c>
      <c r="C190" s="2" t="s">
        <v>179</v>
      </c>
      <c r="D190" s="2" t="s">
        <v>533</v>
      </c>
      <c r="E190" s="2" t="str">
        <f t="shared" si="17"/>
        <v>CIS</v>
      </c>
      <c r="G190" s="15"/>
      <c r="H190" s="15" t="str">
        <f t="shared" si="15"/>
        <v>.</v>
      </c>
      <c r="I190" s="2" t="str">
        <f t="shared" si="21"/>
        <v/>
      </c>
      <c r="J190" s="2" t="s">
        <v>179</v>
      </c>
      <c r="K190" s="2" t="s">
        <v>635</v>
      </c>
      <c r="L190" s="2" t="str">
        <f>VLOOKUP(J190,C190:$E$248,3,FALSE)</f>
        <v>CIS</v>
      </c>
      <c r="M190" s="2" t="str">
        <f t="shared" si="16"/>
        <v>"Russian Federation "</v>
      </c>
      <c r="S190" s="2" t="s">
        <v>207</v>
      </c>
      <c r="T190" s="2" t="s">
        <v>860</v>
      </c>
      <c r="U190" s="2" t="str">
        <f t="shared" si="18"/>
        <v>XER</v>
      </c>
      <c r="V190" s="2" t="str">
        <f t="shared" si="19"/>
        <v>"Switzerland"</v>
      </c>
      <c r="W190" s="2" t="s">
        <v>822</v>
      </c>
    </row>
    <row r="191" spans="1:23" hidden="1">
      <c r="A191" s="15" t="s">
        <v>623</v>
      </c>
      <c r="B191" s="15" t="s">
        <v>624</v>
      </c>
      <c r="C191" s="2" t="s">
        <v>180</v>
      </c>
      <c r="D191" s="2" t="s">
        <v>534</v>
      </c>
      <c r="E191" s="2" t="str">
        <f t="shared" si="17"/>
        <v>XAF</v>
      </c>
      <c r="G191" s="15"/>
      <c r="H191" s="15" t="str">
        <f t="shared" si="15"/>
        <v>.</v>
      </c>
      <c r="I191" s="2" t="str">
        <f t="shared" si="21"/>
        <v/>
      </c>
      <c r="J191" s="2" t="s">
        <v>180</v>
      </c>
      <c r="K191" s="2" t="s">
        <v>635</v>
      </c>
      <c r="L191" s="2" t="str">
        <f>VLOOKUP(J191,C191:$E$248,3,FALSE)</f>
        <v>XAF</v>
      </c>
      <c r="M191" s="2" t="str">
        <f t="shared" si="16"/>
        <v>"Rwanda "</v>
      </c>
      <c r="S191" s="2" t="s">
        <v>208</v>
      </c>
      <c r="T191" s="2" t="s">
        <v>860</v>
      </c>
      <c r="U191" s="2" t="str">
        <f t="shared" si="18"/>
        <v>XME</v>
      </c>
      <c r="V191" s="2" t="str">
        <f t="shared" si="19"/>
        <v>"Syrian Arab Republic"</v>
      </c>
      <c r="W191" s="2" t="s">
        <v>823</v>
      </c>
    </row>
    <row r="192" spans="1:23" hidden="1">
      <c r="A192" s="15" t="s">
        <v>619</v>
      </c>
      <c r="B192" s="15" t="s">
        <v>620</v>
      </c>
      <c r="C192" s="2" t="s">
        <v>189</v>
      </c>
      <c r="D192" s="2" t="s">
        <v>535</v>
      </c>
      <c r="E192" s="2" t="str">
        <f t="shared" si="17"/>
        <v>XME</v>
      </c>
      <c r="G192" s="15"/>
      <c r="H192" s="15" t="str">
        <f t="shared" si="15"/>
        <v>.</v>
      </c>
      <c r="I192" s="2" t="str">
        <f t="shared" si="21"/>
        <v/>
      </c>
      <c r="J192" s="2" t="s">
        <v>189</v>
      </c>
      <c r="K192" s="2" t="s">
        <v>635</v>
      </c>
      <c r="L192" s="2" t="str">
        <f>VLOOKUP(J192,C192:$E$248,3,FALSE)</f>
        <v>XME</v>
      </c>
      <c r="M192" s="2" t="str">
        <f t="shared" si="16"/>
        <v>"Saudi Arabia "</v>
      </c>
      <c r="S192" s="2" t="s">
        <v>210</v>
      </c>
      <c r="T192" s="2" t="s">
        <v>860</v>
      </c>
      <c r="U192" s="2" t="str">
        <f t="shared" si="18"/>
        <v>CIS</v>
      </c>
      <c r="V192" s="2" t="str">
        <f t="shared" si="19"/>
        <v>"Tajikistan"</v>
      </c>
      <c r="W192" s="2" t="s">
        <v>824</v>
      </c>
    </row>
    <row r="193" spans="1:23" hidden="1">
      <c r="A193" s="15" t="s">
        <v>623</v>
      </c>
      <c r="B193" s="15" t="s">
        <v>624</v>
      </c>
      <c r="C193" s="2" t="s">
        <v>202</v>
      </c>
      <c r="D193" s="2" t="s">
        <v>536</v>
      </c>
      <c r="E193" s="2" t="str">
        <f t="shared" si="17"/>
        <v>XAF</v>
      </c>
      <c r="G193" s="15"/>
      <c r="H193" s="15" t="str">
        <f t="shared" si="15"/>
        <v>.</v>
      </c>
      <c r="I193" s="2" t="str">
        <f t="shared" si="21"/>
        <v/>
      </c>
      <c r="J193" s="2" t="s">
        <v>202</v>
      </c>
      <c r="K193" s="2" t="s">
        <v>635</v>
      </c>
      <c r="L193" s="2" t="str">
        <f>VLOOKUP(J193,C193:$E$248,3,FALSE)</f>
        <v>XAF</v>
      </c>
      <c r="M193" s="2" t="str">
        <f t="shared" si="16"/>
        <v>"Sudan "</v>
      </c>
      <c r="S193" s="2" t="s">
        <v>211</v>
      </c>
      <c r="T193" s="2" t="s">
        <v>860</v>
      </c>
      <c r="U193" s="2" t="str">
        <f t="shared" si="18"/>
        <v>XAF</v>
      </c>
      <c r="V193" s="2" t="str">
        <f t="shared" si="19"/>
        <v>"Tanzania"</v>
      </c>
      <c r="W193" s="2" t="s">
        <v>825</v>
      </c>
    </row>
    <row r="194" spans="1:23" hidden="1">
      <c r="A194" s="15" t="s">
        <v>623</v>
      </c>
      <c r="B194" s="15" t="s">
        <v>624</v>
      </c>
      <c r="C194" s="2" t="s">
        <v>190</v>
      </c>
      <c r="D194" s="2" t="s">
        <v>537</v>
      </c>
      <c r="E194" s="2" t="str">
        <f t="shared" si="17"/>
        <v>XAF</v>
      </c>
      <c r="G194" s="15"/>
      <c r="H194" s="15" t="str">
        <f t="shared" ref="H194:H248" si="22">VLOOKUP(J194,$S$2:$W$265,2,FALSE)</f>
        <v>.</v>
      </c>
      <c r="I194" s="2" t="str">
        <f t="shared" si="21"/>
        <v/>
      </c>
      <c r="J194" s="2" t="s">
        <v>190</v>
      </c>
      <c r="K194" s="2" t="s">
        <v>635</v>
      </c>
      <c r="L194" s="2" t="str">
        <f>VLOOKUP(J194,C194:$E$248,3,FALSE)</f>
        <v>XAF</v>
      </c>
      <c r="M194" s="2" t="str">
        <f t="shared" ref="M194:M248" si="23">""""&amp;D194&amp;""""</f>
        <v>"Senegal "</v>
      </c>
      <c r="S194" s="2" t="s">
        <v>212</v>
      </c>
      <c r="T194" s="2" t="s">
        <v>860</v>
      </c>
      <c r="U194" s="2" t="str">
        <f t="shared" si="18"/>
        <v>XSE</v>
      </c>
      <c r="V194" s="2" t="str">
        <f t="shared" si="19"/>
        <v>"Thailand"</v>
      </c>
      <c r="W194" s="2" t="s">
        <v>826</v>
      </c>
    </row>
    <row r="195" spans="1:23" hidden="1">
      <c r="A195" s="15" t="s">
        <v>610</v>
      </c>
      <c r="B195" s="15" t="s">
        <v>611</v>
      </c>
      <c r="C195" s="2" t="s">
        <v>193</v>
      </c>
      <c r="D195" s="2" t="s">
        <v>538</v>
      </c>
      <c r="E195" s="2" t="str">
        <f t="shared" ref="E195:E248" si="24">A195</f>
        <v>XSE</v>
      </c>
      <c r="G195" s="15"/>
      <c r="H195" s="15" t="str">
        <f t="shared" si="22"/>
        <v>.</v>
      </c>
      <c r="I195" s="2" t="str">
        <f t="shared" si="21"/>
        <v/>
      </c>
      <c r="J195" s="2" t="s">
        <v>193</v>
      </c>
      <c r="K195" s="2" t="s">
        <v>635</v>
      </c>
      <c r="L195" s="2" t="str">
        <f>VLOOKUP(J195,C195:$E$248,3,FALSE)</f>
        <v>XSE</v>
      </c>
      <c r="M195" s="2" t="str">
        <f t="shared" si="23"/>
        <v>"Singapore "</v>
      </c>
      <c r="S195" s="2" t="s">
        <v>64</v>
      </c>
      <c r="T195" s="2" t="s">
        <v>860</v>
      </c>
      <c r="U195" s="2" t="str">
        <f t="shared" ref="U195:U218" si="25">VLOOKUP(S195,$J$2:$M$248,3,FALSE)</f>
        <v>XSE</v>
      </c>
      <c r="V195" s="2" t="str">
        <f t="shared" ref="V195:V221" si="26">""""&amp;W195&amp;""""</f>
        <v>"Timor-Leste"</v>
      </c>
      <c r="W195" s="2" t="s">
        <v>827</v>
      </c>
    </row>
    <row r="196" spans="1:23" hidden="1">
      <c r="A196" s="15" t="s">
        <v>615</v>
      </c>
      <c r="B196" s="15" t="s">
        <v>616</v>
      </c>
      <c r="C196" s="2" t="s">
        <v>199</v>
      </c>
      <c r="D196" s="2" t="s">
        <v>539</v>
      </c>
      <c r="E196" s="2" t="str">
        <f t="shared" si="24"/>
        <v>XLM</v>
      </c>
      <c r="G196" s="15"/>
      <c r="H196" s="15" t="e">
        <f t="shared" si="22"/>
        <v>#N/A</v>
      </c>
      <c r="I196" s="2" t="str">
        <f t="shared" si="21"/>
        <v/>
      </c>
      <c r="J196" s="2" t="s">
        <v>199</v>
      </c>
      <c r="K196" s="2" t="s">
        <v>635</v>
      </c>
      <c r="L196" s="2" t="str">
        <f>VLOOKUP(J196,C196:$E$248,3,FALSE)</f>
        <v>XLM</v>
      </c>
      <c r="M196" s="2" t="str">
        <f t="shared" si="23"/>
        <v>"South Georgia and the South Sandwich Islands "</v>
      </c>
      <c r="S196" s="2" t="s">
        <v>213</v>
      </c>
      <c r="T196" s="2" t="s">
        <v>860</v>
      </c>
      <c r="U196" s="2" t="str">
        <f t="shared" si="25"/>
        <v>XAF</v>
      </c>
      <c r="V196" s="2" t="str">
        <f t="shared" si="26"/>
        <v>"Togo"</v>
      </c>
      <c r="W196" s="2" t="s">
        <v>828</v>
      </c>
    </row>
    <row r="197" spans="1:23" hidden="1">
      <c r="A197" s="15" t="s">
        <v>623</v>
      </c>
      <c r="B197" s="15" t="s">
        <v>624</v>
      </c>
      <c r="C197" s="2" t="s">
        <v>181</v>
      </c>
      <c r="D197" s="2" t="s">
        <v>540</v>
      </c>
      <c r="E197" s="2" t="str">
        <f t="shared" si="24"/>
        <v>XAF</v>
      </c>
      <c r="G197" s="15"/>
      <c r="H197" s="15" t="e">
        <f t="shared" si="22"/>
        <v>#N/A</v>
      </c>
      <c r="I197" s="2" t="str">
        <f t="shared" si="21"/>
        <v/>
      </c>
      <c r="J197" s="2" t="s">
        <v>181</v>
      </c>
      <c r="K197" s="2" t="s">
        <v>635</v>
      </c>
      <c r="L197" s="2" t="str">
        <f>VLOOKUP(J197,C197:$E$248,3,FALSE)</f>
        <v>XAF</v>
      </c>
      <c r="M197" s="2" t="str">
        <f t="shared" si="23"/>
        <v>"Saint Helena, Ascension and Tristan da Cunha "</v>
      </c>
      <c r="S197" s="2" t="s">
        <v>215</v>
      </c>
      <c r="T197" s="2" t="s">
        <v>860</v>
      </c>
      <c r="U197" s="2" t="str">
        <f t="shared" si="25"/>
        <v>XSA</v>
      </c>
      <c r="V197" s="2" t="str">
        <f t="shared" si="26"/>
        <v>"Tonga"</v>
      </c>
      <c r="W197" s="2" t="s">
        <v>829</v>
      </c>
    </row>
    <row r="198" spans="1:23" hidden="1">
      <c r="A198" s="15" t="s">
        <v>603</v>
      </c>
      <c r="B198" s="15" t="s">
        <v>604</v>
      </c>
      <c r="C198" s="2" t="s">
        <v>204</v>
      </c>
      <c r="D198" s="2" t="s">
        <v>541</v>
      </c>
      <c r="E198" s="2" t="str">
        <f t="shared" si="24"/>
        <v>XER</v>
      </c>
      <c r="G198" s="15"/>
      <c r="H198" s="15" t="e">
        <f t="shared" si="22"/>
        <v>#N/A</v>
      </c>
      <c r="I198" s="2" t="str">
        <f t="shared" si="21"/>
        <v/>
      </c>
      <c r="J198" s="2" t="s">
        <v>204</v>
      </c>
      <c r="K198" s="2" t="s">
        <v>635</v>
      </c>
      <c r="L198" s="2" t="str">
        <f>VLOOKUP(J198,C198:$E$248,3,FALSE)</f>
        <v>XER</v>
      </c>
      <c r="M198" s="2" t="str">
        <f t="shared" si="23"/>
        <v>"Svalbard and Jan Mayen "</v>
      </c>
      <c r="S198" s="2" t="s">
        <v>216</v>
      </c>
      <c r="T198" s="2" t="s">
        <v>860</v>
      </c>
      <c r="U198" s="2" t="str">
        <f t="shared" si="25"/>
        <v>XLM</v>
      </c>
      <c r="V198" s="2" t="str">
        <f t="shared" si="26"/>
        <v>"Trinidad and Tobago"</v>
      </c>
      <c r="W198" s="2" t="s">
        <v>830</v>
      </c>
    </row>
    <row r="199" spans="1:23">
      <c r="A199" s="15" t="s">
        <v>612</v>
      </c>
      <c r="B199" s="15" t="s">
        <v>613</v>
      </c>
      <c r="C199" s="2" t="s">
        <v>196</v>
      </c>
      <c r="D199" s="2" t="s">
        <v>542</v>
      </c>
      <c r="E199" s="2" t="str">
        <f t="shared" si="24"/>
        <v>XSA</v>
      </c>
      <c r="G199" s="15"/>
      <c r="H199" s="15" t="str">
        <f t="shared" si="22"/>
        <v>.</v>
      </c>
      <c r="I199" s="2" t="str">
        <f t="shared" si="21"/>
        <v/>
      </c>
      <c r="J199" s="2" t="s">
        <v>196</v>
      </c>
      <c r="K199" s="2" t="s">
        <v>635</v>
      </c>
      <c r="L199" s="2" t="str">
        <f>VLOOKUP(J199,C199:$E$248,3,FALSE)</f>
        <v>XSA</v>
      </c>
      <c r="M199" s="2" t="str">
        <f t="shared" si="23"/>
        <v>"Solomon Islands "</v>
      </c>
      <c r="S199" s="2" t="s">
        <v>217</v>
      </c>
      <c r="T199" s="2" t="s">
        <v>860</v>
      </c>
      <c r="U199" s="2" t="str">
        <f t="shared" si="25"/>
        <v>XNF</v>
      </c>
      <c r="V199" s="2" t="str">
        <f t="shared" si="26"/>
        <v>"Tunisia"</v>
      </c>
      <c r="W199" s="2" t="s">
        <v>831</v>
      </c>
    </row>
    <row r="200" spans="1:23" hidden="1">
      <c r="A200" s="15" t="s">
        <v>623</v>
      </c>
      <c r="B200" s="15" t="s">
        <v>624</v>
      </c>
      <c r="C200" s="2" t="s">
        <v>192</v>
      </c>
      <c r="D200" s="2" t="s">
        <v>543</v>
      </c>
      <c r="E200" s="2" t="str">
        <f t="shared" si="24"/>
        <v>XAF</v>
      </c>
      <c r="G200" s="15"/>
      <c r="H200" s="15" t="str">
        <f t="shared" si="22"/>
        <v>.</v>
      </c>
      <c r="I200" s="2" t="str">
        <f t="shared" si="21"/>
        <v/>
      </c>
      <c r="J200" s="2" t="s">
        <v>192</v>
      </c>
      <c r="K200" s="2" t="s">
        <v>635</v>
      </c>
      <c r="L200" s="2" t="str">
        <f>VLOOKUP(J200,C200:$E$248,3,FALSE)</f>
        <v>XAF</v>
      </c>
      <c r="M200" s="2" t="str">
        <f t="shared" si="23"/>
        <v>"Sierra Leone "</v>
      </c>
      <c r="S200" s="2" t="s">
        <v>218</v>
      </c>
      <c r="T200" s="2" t="s">
        <v>860</v>
      </c>
      <c r="U200" s="2" t="str">
        <f t="shared" si="25"/>
        <v>TUR</v>
      </c>
      <c r="V200" s="2" t="str">
        <f t="shared" si="26"/>
        <v>"Turkey"</v>
      </c>
      <c r="W200" s="2" t="s">
        <v>605</v>
      </c>
    </row>
    <row r="201" spans="1:23" hidden="1">
      <c r="A201" s="15" t="s">
        <v>615</v>
      </c>
      <c r="B201" s="15" t="s">
        <v>616</v>
      </c>
      <c r="C201" s="2" t="s">
        <v>67</v>
      </c>
      <c r="D201" s="2" t="s">
        <v>544</v>
      </c>
      <c r="E201" s="2" t="str">
        <f t="shared" si="24"/>
        <v>XLM</v>
      </c>
      <c r="G201" s="15"/>
      <c r="H201" s="15" t="str">
        <f t="shared" si="22"/>
        <v>.</v>
      </c>
      <c r="I201" s="2" t="str">
        <f t="shared" si="21"/>
        <v/>
      </c>
      <c r="J201" s="2" t="s">
        <v>67</v>
      </c>
      <c r="K201" s="2" t="s">
        <v>635</v>
      </c>
      <c r="L201" s="2" t="str">
        <f>VLOOKUP(J201,C201:$E$248,3,FALSE)</f>
        <v>XLM</v>
      </c>
      <c r="M201" s="2" t="str">
        <f t="shared" si="23"/>
        <v>"El Salvador "</v>
      </c>
      <c r="S201" s="2" t="s">
        <v>219</v>
      </c>
      <c r="T201" s="2" t="s">
        <v>860</v>
      </c>
      <c r="U201" s="2" t="str">
        <f t="shared" si="25"/>
        <v>CIS</v>
      </c>
      <c r="V201" s="2" t="str">
        <f t="shared" si="26"/>
        <v>"Turkmenistan"</v>
      </c>
      <c r="W201" s="2" t="s">
        <v>832</v>
      </c>
    </row>
    <row r="202" spans="1:23" hidden="1">
      <c r="A202" s="15" t="s">
        <v>603</v>
      </c>
      <c r="B202" s="15" t="s">
        <v>604</v>
      </c>
      <c r="C202" s="2" t="s">
        <v>187</v>
      </c>
      <c r="D202" s="2" t="s">
        <v>545</v>
      </c>
      <c r="E202" s="2" t="str">
        <f t="shared" si="24"/>
        <v>XER</v>
      </c>
      <c r="G202" s="15"/>
      <c r="H202" s="15" t="str">
        <f t="shared" si="22"/>
        <v>.</v>
      </c>
      <c r="I202" s="2" t="str">
        <f t="shared" si="21"/>
        <v/>
      </c>
      <c r="J202" s="2" t="s">
        <v>187</v>
      </c>
      <c r="K202" s="2" t="s">
        <v>635</v>
      </c>
      <c r="L202" s="2" t="str">
        <f>VLOOKUP(J202,C202:$E$248,3,FALSE)</f>
        <v>XER</v>
      </c>
      <c r="M202" s="2" t="str">
        <f t="shared" si="23"/>
        <v>"San Marino "</v>
      </c>
      <c r="S202" s="2" t="s">
        <v>220</v>
      </c>
      <c r="T202" s="2" t="s">
        <v>860</v>
      </c>
      <c r="U202" s="2" t="str">
        <f t="shared" si="25"/>
        <v>XLM</v>
      </c>
      <c r="V202" s="2" t="str">
        <f t="shared" si="26"/>
        <v>"Turks and Caicos Islands"</v>
      </c>
      <c r="W202" s="2" t="s">
        <v>833</v>
      </c>
    </row>
    <row r="203" spans="1:23" hidden="1">
      <c r="A203" s="15" t="s">
        <v>623</v>
      </c>
      <c r="B203" s="15" t="s">
        <v>624</v>
      </c>
      <c r="C203" s="2" t="s">
        <v>197</v>
      </c>
      <c r="D203" s="2" t="s">
        <v>546</v>
      </c>
      <c r="E203" s="2" t="str">
        <f t="shared" si="24"/>
        <v>XAF</v>
      </c>
      <c r="G203" s="15"/>
      <c r="H203" s="15" t="str">
        <f t="shared" si="22"/>
        <v>.</v>
      </c>
      <c r="I203" s="2" t="str">
        <f t="shared" si="21"/>
        <v/>
      </c>
      <c r="J203" s="2" t="s">
        <v>197</v>
      </c>
      <c r="K203" s="2" t="s">
        <v>635</v>
      </c>
      <c r="L203" s="2" t="str">
        <f>VLOOKUP(J203,C203:$E$248,3,FALSE)</f>
        <v>XAF</v>
      </c>
      <c r="M203" s="2" t="str">
        <f t="shared" si="23"/>
        <v>"Somalia "</v>
      </c>
      <c r="S203" s="2" t="s">
        <v>221</v>
      </c>
      <c r="T203" s="2" t="s">
        <v>860</v>
      </c>
      <c r="U203" s="2" t="str">
        <f t="shared" si="25"/>
        <v>XSA</v>
      </c>
      <c r="V203" s="2" t="str">
        <f t="shared" si="26"/>
        <v>"Tuvalu"</v>
      </c>
      <c r="W203" s="2" t="s">
        <v>834</v>
      </c>
    </row>
    <row r="204" spans="1:23" hidden="1">
      <c r="A204" s="15" t="s">
        <v>615</v>
      </c>
      <c r="B204" s="15" t="s">
        <v>616</v>
      </c>
      <c r="C204" s="2" t="s">
        <v>184</v>
      </c>
      <c r="D204" s="2" t="s">
        <v>547</v>
      </c>
      <c r="E204" s="2" t="str">
        <f t="shared" si="24"/>
        <v>XLM</v>
      </c>
      <c r="G204" s="15"/>
      <c r="H204" s="15" t="e">
        <f t="shared" si="22"/>
        <v>#N/A</v>
      </c>
      <c r="I204" s="2" t="str">
        <f t="shared" si="21"/>
        <v/>
      </c>
      <c r="J204" s="2" t="s">
        <v>184</v>
      </c>
      <c r="K204" s="2" t="s">
        <v>635</v>
      </c>
      <c r="L204" s="2" t="str">
        <f>VLOOKUP(J204,C204:$E$248,3,FALSE)</f>
        <v>XLM</v>
      </c>
      <c r="M204" s="2" t="str">
        <f t="shared" si="23"/>
        <v>"Saint Pierre and Miquelon "</v>
      </c>
      <c r="S204" s="2" t="s">
        <v>222</v>
      </c>
      <c r="T204" s="2" t="s">
        <v>860</v>
      </c>
      <c r="U204" s="2" t="str">
        <f t="shared" si="25"/>
        <v>XAF</v>
      </c>
      <c r="V204" s="2" t="str">
        <f t="shared" si="26"/>
        <v>"Uganda"</v>
      </c>
      <c r="W204" s="2" t="s">
        <v>835</v>
      </c>
    </row>
    <row r="205" spans="1:23" hidden="1">
      <c r="A205" s="15" t="s">
        <v>603</v>
      </c>
      <c r="B205" s="15" t="s">
        <v>604</v>
      </c>
      <c r="C205" s="2" t="s">
        <v>264</v>
      </c>
      <c r="D205" s="2" t="s">
        <v>548</v>
      </c>
      <c r="E205" s="2" t="str">
        <f t="shared" si="24"/>
        <v>XER</v>
      </c>
      <c r="G205" s="15"/>
      <c r="H205" s="15" t="str">
        <f t="shared" si="22"/>
        <v>.</v>
      </c>
      <c r="I205" s="2" t="str">
        <f t="shared" si="21"/>
        <v/>
      </c>
      <c r="J205" s="2" t="s">
        <v>264</v>
      </c>
      <c r="K205" s="2" t="s">
        <v>635</v>
      </c>
      <c r="L205" s="2" t="str">
        <f>VLOOKUP(J205,C205:$E$248,3,FALSE)</f>
        <v>XER</v>
      </c>
      <c r="M205" s="2" t="str">
        <f t="shared" si="23"/>
        <v>"Serbia "</v>
      </c>
      <c r="S205" s="2" t="s">
        <v>223</v>
      </c>
      <c r="T205" s="2" t="s">
        <v>860</v>
      </c>
      <c r="U205" s="2" t="str">
        <f t="shared" si="25"/>
        <v>CIS</v>
      </c>
      <c r="V205" s="2" t="str">
        <f t="shared" si="26"/>
        <v>"Ukraine"</v>
      </c>
      <c r="W205" s="2" t="s">
        <v>836</v>
      </c>
    </row>
    <row r="206" spans="1:23" hidden="1">
      <c r="A206" s="15" t="e">
        <v>#N/A</v>
      </c>
      <c r="B206" s="15" t="e">
        <v>#N/A</v>
      </c>
      <c r="C206" s="2" t="s">
        <v>549</v>
      </c>
      <c r="D206" s="2" t="s">
        <v>550</v>
      </c>
      <c r="E206" s="2" t="e">
        <f t="shared" si="24"/>
        <v>#N/A</v>
      </c>
      <c r="G206" s="15"/>
      <c r="H206" s="15" t="str">
        <f t="shared" si="22"/>
        <v>.</v>
      </c>
      <c r="I206" s="2" t="str">
        <f t="shared" si="21"/>
        <v/>
      </c>
      <c r="J206" s="2" t="s">
        <v>549</v>
      </c>
      <c r="K206" s="2" t="s">
        <v>635</v>
      </c>
      <c r="L206" s="2" t="s">
        <v>851</v>
      </c>
      <c r="M206" s="2" t="str">
        <f t="shared" si="23"/>
        <v>"South Sudan"</v>
      </c>
      <c r="S206" s="2" t="s">
        <v>224</v>
      </c>
      <c r="T206" s="2" t="s">
        <v>860</v>
      </c>
      <c r="U206" s="2" t="str">
        <f t="shared" si="25"/>
        <v>XME</v>
      </c>
      <c r="V206" s="2" t="str">
        <f t="shared" si="26"/>
        <v>"United Arab Emirates"</v>
      </c>
      <c r="W206" s="2" t="s">
        <v>837</v>
      </c>
    </row>
    <row r="207" spans="1:23" hidden="1">
      <c r="A207" s="15" t="s">
        <v>623</v>
      </c>
      <c r="B207" s="15" t="s">
        <v>624</v>
      </c>
      <c r="C207" s="2" t="s">
        <v>188</v>
      </c>
      <c r="D207" s="2" t="s">
        <v>551</v>
      </c>
      <c r="E207" s="2" t="str">
        <f t="shared" si="24"/>
        <v>XAF</v>
      </c>
      <c r="G207" s="15"/>
      <c r="H207" s="15" t="str">
        <f t="shared" si="22"/>
        <v>.</v>
      </c>
      <c r="I207" s="2" t="str">
        <f t="shared" si="21"/>
        <v/>
      </c>
      <c r="J207" s="2" t="s">
        <v>188</v>
      </c>
      <c r="K207" s="2" t="s">
        <v>635</v>
      </c>
      <c r="L207" s="2" t="str">
        <f>VLOOKUP(J207,C207:$E$248,3,FALSE)</f>
        <v>XAF</v>
      </c>
      <c r="M207" s="2" t="str">
        <f t="shared" si="23"/>
        <v>"Sao Tome and Principe "</v>
      </c>
      <c r="S207" s="2" t="s">
        <v>225</v>
      </c>
      <c r="T207" s="2" t="s">
        <v>860</v>
      </c>
      <c r="U207" s="2" t="str">
        <f t="shared" si="25"/>
        <v>XE25</v>
      </c>
      <c r="V207" s="2" t="str">
        <f t="shared" si="26"/>
        <v>"United Kingdom"</v>
      </c>
      <c r="W207" s="2" t="s">
        <v>838</v>
      </c>
    </row>
    <row r="208" spans="1:23" hidden="1">
      <c r="A208" s="15" t="s">
        <v>615</v>
      </c>
      <c r="B208" s="15" t="s">
        <v>616</v>
      </c>
      <c r="C208" s="2" t="s">
        <v>203</v>
      </c>
      <c r="D208" s="2" t="s">
        <v>552</v>
      </c>
      <c r="E208" s="2" t="str">
        <f t="shared" si="24"/>
        <v>XLM</v>
      </c>
      <c r="G208" s="15"/>
      <c r="H208" s="15" t="str">
        <f t="shared" si="22"/>
        <v>.</v>
      </c>
      <c r="I208" s="2" t="str">
        <f t="shared" si="21"/>
        <v/>
      </c>
      <c r="J208" s="2" t="s">
        <v>203</v>
      </c>
      <c r="K208" s="2" t="s">
        <v>635</v>
      </c>
      <c r="L208" s="2" t="str">
        <f>VLOOKUP(J208,C208:$E$248,3,FALSE)</f>
        <v>XLM</v>
      </c>
      <c r="M208" s="2" t="str">
        <f t="shared" si="23"/>
        <v>"Suriname "</v>
      </c>
      <c r="S208" s="2" t="s">
        <v>226</v>
      </c>
      <c r="T208" s="2" t="s">
        <v>860</v>
      </c>
      <c r="U208" s="2" t="str">
        <f t="shared" si="25"/>
        <v>USA</v>
      </c>
      <c r="V208" s="2" t="str">
        <f t="shared" si="26"/>
        <v>"United States"</v>
      </c>
      <c r="W208" s="2" t="s">
        <v>839</v>
      </c>
    </row>
    <row r="209" spans="1:23" hidden="1">
      <c r="A209" s="15" t="s">
        <v>602</v>
      </c>
      <c r="B209" s="15" t="s">
        <v>240</v>
      </c>
      <c r="C209" s="2" t="s">
        <v>194</v>
      </c>
      <c r="D209" s="2" t="s">
        <v>553</v>
      </c>
      <c r="E209" s="2" t="str">
        <f t="shared" si="24"/>
        <v>XE25</v>
      </c>
      <c r="G209" s="15"/>
      <c r="H209" s="15" t="str">
        <f t="shared" si="22"/>
        <v>.</v>
      </c>
      <c r="I209" s="2" t="str">
        <f t="shared" si="21"/>
        <v/>
      </c>
      <c r="J209" s="2" t="s">
        <v>194</v>
      </c>
      <c r="K209" s="2" t="s">
        <v>635</v>
      </c>
      <c r="L209" s="2" t="str">
        <f>VLOOKUP(J209,C209:$E$248,3,FALSE)</f>
        <v>XE25</v>
      </c>
      <c r="M209" s="2" t="str">
        <f t="shared" si="23"/>
        <v>"Slovakia "</v>
      </c>
      <c r="S209" s="2" t="s">
        <v>228</v>
      </c>
      <c r="T209" s="2" t="s">
        <v>860</v>
      </c>
      <c r="U209" s="2" t="str">
        <f t="shared" si="25"/>
        <v>XLM</v>
      </c>
      <c r="V209" s="2" t="str">
        <f t="shared" si="26"/>
        <v>"Uruguay"</v>
      </c>
      <c r="W209" s="2" t="s">
        <v>840</v>
      </c>
    </row>
    <row r="210" spans="1:23" hidden="1">
      <c r="A210" s="15" t="s">
        <v>602</v>
      </c>
      <c r="B210" s="15" t="s">
        <v>240</v>
      </c>
      <c r="C210" s="2" t="s">
        <v>195</v>
      </c>
      <c r="D210" s="2" t="s">
        <v>554</v>
      </c>
      <c r="E210" s="2" t="str">
        <f t="shared" si="24"/>
        <v>XE25</v>
      </c>
      <c r="G210" s="15"/>
      <c r="H210" s="15" t="str">
        <f t="shared" si="22"/>
        <v>.</v>
      </c>
      <c r="I210" s="2" t="str">
        <f t="shared" si="21"/>
        <v/>
      </c>
      <c r="J210" s="2" t="s">
        <v>195</v>
      </c>
      <c r="K210" s="2" t="s">
        <v>635</v>
      </c>
      <c r="L210" s="2" t="str">
        <f>VLOOKUP(J210,C210:$E$248,3,FALSE)</f>
        <v>XE25</v>
      </c>
      <c r="M210" s="2" t="str">
        <f t="shared" si="23"/>
        <v>"Slovenia "</v>
      </c>
      <c r="S210" s="2" t="s">
        <v>229</v>
      </c>
      <c r="T210" s="2" t="s">
        <v>860</v>
      </c>
      <c r="U210" s="2" t="str">
        <f t="shared" si="25"/>
        <v>CIS</v>
      </c>
      <c r="V210" s="2" t="str">
        <f t="shared" si="26"/>
        <v>"Uzbekistan"</v>
      </c>
      <c r="W210" s="2" t="s">
        <v>841</v>
      </c>
    </row>
    <row r="211" spans="1:23" hidden="1">
      <c r="A211" s="15" t="s">
        <v>602</v>
      </c>
      <c r="B211" s="15" t="s">
        <v>240</v>
      </c>
      <c r="C211" s="2" t="s">
        <v>206</v>
      </c>
      <c r="D211" s="2" t="s">
        <v>555</v>
      </c>
      <c r="E211" s="2" t="str">
        <f t="shared" si="24"/>
        <v>XE25</v>
      </c>
      <c r="G211" s="15"/>
      <c r="H211" s="15" t="str">
        <f t="shared" si="22"/>
        <v>.</v>
      </c>
      <c r="I211" s="2" t="str">
        <f t="shared" si="21"/>
        <v/>
      </c>
      <c r="J211" s="2" t="s">
        <v>206</v>
      </c>
      <c r="K211" s="2" t="s">
        <v>635</v>
      </c>
      <c r="L211" s="2" t="str">
        <f>VLOOKUP(J211,C211:$E$248,3,FALSE)</f>
        <v>XE25</v>
      </c>
      <c r="M211" s="2" t="str">
        <f t="shared" si="23"/>
        <v>"Sweden "</v>
      </c>
      <c r="S211" s="2" t="s">
        <v>230</v>
      </c>
      <c r="T211" s="2" t="s">
        <v>860</v>
      </c>
      <c r="U211" s="2" t="str">
        <f t="shared" si="25"/>
        <v>XSA</v>
      </c>
      <c r="V211" s="2" t="str">
        <f t="shared" si="26"/>
        <v>"Vanuatu"</v>
      </c>
      <c r="W211" s="2" t="s">
        <v>842</v>
      </c>
    </row>
    <row r="212" spans="1:23" hidden="1">
      <c r="A212" s="15" t="s">
        <v>623</v>
      </c>
      <c r="B212" s="15" t="s">
        <v>624</v>
      </c>
      <c r="C212" s="2" t="s">
        <v>205</v>
      </c>
      <c r="D212" s="2" t="s">
        <v>556</v>
      </c>
      <c r="E212" s="2" t="str">
        <f t="shared" si="24"/>
        <v>XAF</v>
      </c>
      <c r="G212" s="15"/>
      <c r="H212" s="15" t="str">
        <f t="shared" si="22"/>
        <v>.</v>
      </c>
      <c r="I212" s="2" t="str">
        <f t="shared" si="21"/>
        <v/>
      </c>
      <c r="J212" s="2" t="s">
        <v>205</v>
      </c>
      <c r="K212" s="2" t="s">
        <v>635</v>
      </c>
      <c r="L212" s="2" t="str">
        <f>VLOOKUP(J212,C212:$E$248,3,FALSE)</f>
        <v>XAF</v>
      </c>
      <c r="M212" s="2" t="str">
        <f t="shared" si="23"/>
        <v>"Swaziland "</v>
      </c>
      <c r="S212" s="2" t="s">
        <v>231</v>
      </c>
      <c r="T212" s="2" t="s">
        <v>860</v>
      </c>
      <c r="U212" s="2" t="str">
        <f t="shared" si="25"/>
        <v>XLM</v>
      </c>
      <c r="V212" s="2" t="str">
        <f t="shared" si="26"/>
        <v>"Venezuela, RB"</v>
      </c>
      <c r="W212" s="2" t="s">
        <v>843</v>
      </c>
    </row>
    <row r="213" spans="1:23" hidden="1">
      <c r="A213" s="15" t="s">
        <v>623</v>
      </c>
      <c r="B213" s="15" t="s">
        <v>624</v>
      </c>
      <c r="C213" s="2" t="s">
        <v>191</v>
      </c>
      <c r="D213" s="2" t="s">
        <v>557</v>
      </c>
      <c r="E213" s="2" t="str">
        <f t="shared" si="24"/>
        <v>XAF</v>
      </c>
      <c r="G213" s="15"/>
      <c r="H213" s="15" t="str">
        <f t="shared" si="22"/>
        <v>.</v>
      </c>
      <c r="I213" s="2" t="str">
        <f t="shared" si="21"/>
        <v/>
      </c>
      <c r="J213" s="2" t="s">
        <v>191</v>
      </c>
      <c r="K213" s="2" t="s">
        <v>635</v>
      </c>
      <c r="L213" s="2" t="str">
        <f>VLOOKUP(J213,C213:$E$248,3,FALSE)</f>
        <v>XAF</v>
      </c>
      <c r="M213" s="2" t="str">
        <f t="shared" si="23"/>
        <v>"Seychelles "</v>
      </c>
      <c r="S213" s="2" t="s">
        <v>232</v>
      </c>
      <c r="T213" s="2" t="s">
        <v>860</v>
      </c>
      <c r="U213" s="2" t="str">
        <f t="shared" si="25"/>
        <v>XSE</v>
      </c>
      <c r="V213" s="2" t="str">
        <f t="shared" si="26"/>
        <v>"Vietnam"</v>
      </c>
      <c r="W213" s="2" t="s">
        <v>844</v>
      </c>
    </row>
    <row r="214" spans="1:23" hidden="1">
      <c r="A214" s="15" t="s">
        <v>619</v>
      </c>
      <c r="B214" s="15" t="s">
        <v>620</v>
      </c>
      <c r="C214" s="2" t="s">
        <v>208</v>
      </c>
      <c r="D214" s="2" t="s">
        <v>558</v>
      </c>
      <c r="E214" s="2" t="str">
        <f t="shared" si="24"/>
        <v>XME</v>
      </c>
      <c r="G214" s="15"/>
      <c r="H214" s="15" t="str">
        <f t="shared" si="22"/>
        <v>.</v>
      </c>
      <c r="J214" s="2" t="s">
        <v>208</v>
      </c>
      <c r="K214" s="2" t="s">
        <v>635</v>
      </c>
      <c r="L214" s="2" t="str">
        <f>VLOOKUP(J214,C214:$E$248,3,FALSE)</f>
        <v>XME</v>
      </c>
      <c r="M214" s="2" t="str">
        <f t="shared" si="23"/>
        <v>"Syrian Arab Republic "</v>
      </c>
      <c r="S214" s="2" t="s">
        <v>234</v>
      </c>
      <c r="T214" s="2" t="s">
        <v>860</v>
      </c>
      <c r="U214" s="2" t="str">
        <f t="shared" si="25"/>
        <v>XLM</v>
      </c>
      <c r="V214" s="2" t="str">
        <f t="shared" si="26"/>
        <v>"Virgin Islands (U.S.)"</v>
      </c>
      <c r="W214" s="2" t="s">
        <v>845</v>
      </c>
    </row>
    <row r="215" spans="1:23" hidden="1">
      <c r="A215" s="15" t="s">
        <v>615</v>
      </c>
      <c r="B215" s="15" t="s">
        <v>616</v>
      </c>
      <c r="C215" s="2" t="s">
        <v>220</v>
      </c>
      <c r="D215" s="2" t="s">
        <v>559</v>
      </c>
      <c r="E215" s="2" t="str">
        <f t="shared" si="24"/>
        <v>XLM</v>
      </c>
      <c r="G215" s="15"/>
      <c r="H215" s="15" t="str">
        <f t="shared" si="22"/>
        <v>.</v>
      </c>
      <c r="J215" s="2" t="s">
        <v>220</v>
      </c>
      <c r="K215" s="2" t="s">
        <v>635</v>
      </c>
      <c r="L215" s="2" t="str">
        <f>VLOOKUP(J215,C215:$E$248,3,FALSE)</f>
        <v>XLM</v>
      </c>
      <c r="M215" s="2" t="str">
        <f t="shared" si="23"/>
        <v>"Turks and Caicos Islands "</v>
      </c>
      <c r="S215" s="2" t="s">
        <v>527</v>
      </c>
      <c r="T215" s="2" t="s">
        <v>860</v>
      </c>
      <c r="U215" s="2" t="str">
        <f t="shared" si="25"/>
        <v>XME</v>
      </c>
      <c r="V215" s="2" t="str">
        <f t="shared" si="26"/>
        <v>"West Bank and Gaza"</v>
      </c>
      <c r="W215" s="2" t="s">
        <v>846</v>
      </c>
    </row>
    <row r="216" spans="1:23" hidden="1">
      <c r="A216" s="15" t="s">
        <v>623</v>
      </c>
      <c r="B216" s="15" t="s">
        <v>624</v>
      </c>
      <c r="C216" s="2" t="s">
        <v>44</v>
      </c>
      <c r="D216" s="2" t="s">
        <v>560</v>
      </c>
      <c r="E216" s="2" t="str">
        <f t="shared" si="24"/>
        <v>XAF</v>
      </c>
      <c r="G216" s="15"/>
      <c r="H216" s="15" t="str">
        <f t="shared" si="22"/>
        <v>.</v>
      </c>
      <c r="J216" s="2" t="s">
        <v>44</v>
      </c>
      <c r="K216" s="2" t="s">
        <v>635</v>
      </c>
      <c r="L216" s="2" t="str">
        <f>VLOOKUP(J216,C216:$E$248,3,FALSE)</f>
        <v>XAF</v>
      </c>
      <c r="M216" s="2" t="str">
        <f t="shared" si="23"/>
        <v>"Chad "</v>
      </c>
      <c r="S216" s="2" t="s">
        <v>237</v>
      </c>
      <c r="T216" s="2" t="s">
        <v>860</v>
      </c>
      <c r="U216" s="2" t="str">
        <f t="shared" si="25"/>
        <v>XME</v>
      </c>
      <c r="V216" s="2" t="str">
        <f t="shared" si="26"/>
        <v>"Yemen, Rep."</v>
      </c>
      <c r="W216" s="2" t="s">
        <v>847</v>
      </c>
    </row>
    <row r="217" spans="1:23" hidden="1">
      <c r="A217" s="15" t="s">
        <v>623</v>
      </c>
      <c r="B217" s="15" t="s">
        <v>624</v>
      </c>
      <c r="C217" s="2" t="s">
        <v>213</v>
      </c>
      <c r="D217" s="2" t="s">
        <v>561</v>
      </c>
      <c r="E217" s="2" t="str">
        <f t="shared" si="24"/>
        <v>XAF</v>
      </c>
      <c r="G217" s="15"/>
      <c r="H217" s="15" t="str">
        <f t="shared" si="22"/>
        <v>.</v>
      </c>
      <c r="J217" s="2" t="s">
        <v>213</v>
      </c>
      <c r="K217" s="2" t="s">
        <v>635</v>
      </c>
      <c r="L217" s="2" t="str">
        <f>VLOOKUP(J217,C217:$E$248,3,FALSE)</f>
        <v>XAF</v>
      </c>
      <c r="M217" s="2" t="str">
        <f t="shared" si="23"/>
        <v>"Togo "</v>
      </c>
      <c r="S217" s="2" t="s">
        <v>238</v>
      </c>
      <c r="T217" s="2" t="s">
        <v>860</v>
      </c>
      <c r="U217" s="2" t="str">
        <f t="shared" si="25"/>
        <v>XAF</v>
      </c>
      <c r="V217" s="2" t="str">
        <f t="shared" si="26"/>
        <v>"Zambia"</v>
      </c>
      <c r="W217" s="2" t="s">
        <v>848</v>
      </c>
    </row>
    <row r="218" spans="1:23" hidden="1">
      <c r="A218" s="15" t="s">
        <v>610</v>
      </c>
      <c r="B218" s="15" t="s">
        <v>611</v>
      </c>
      <c r="C218" s="2" t="s">
        <v>212</v>
      </c>
      <c r="D218" s="2" t="s">
        <v>562</v>
      </c>
      <c r="E218" s="2" t="str">
        <f t="shared" si="24"/>
        <v>XSE</v>
      </c>
      <c r="G218" s="15"/>
      <c r="H218" s="15" t="str">
        <f t="shared" si="22"/>
        <v>.</v>
      </c>
      <c r="J218" s="2" t="s">
        <v>212</v>
      </c>
      <c r="K218" s="2" t="s">
        <v>635</v>
      </c>
      <c r="L218" s="2" t="str">
        <f>VLOOKUP(J218,C218:$E$248,3,FALSE)</f>
        <v>XSE</v>
      </c>
      <c r="M218" s="2" t="str">
        <f t="shared" si="23"/>
        <v>"Thailand "</v>
      </c>
      <c r="S218" s="2" t="s">
        <v>239</v>
      </c>
      <c r="T218" s="2" t="s">
        <v>860</v>
      </c>
      <c r="U218" s="2" t="str">
        <f t="shared" si="25"/>
        <v>XAF</v>
      </c>
      <c r="V218" s="2" t="str">
        <f t="shared" si="26"/>
        <v>"Zimbabwe"</v>
      </c>
      <c r="W218" s="2" t="s">
        <v>849</v>
      </c>
    </row>
    <row r="219" spans="1:23" hidden="1">
      <c r="A219" s="15" t="s">
        <v>617</v>
      </c>
      <c r="B219" s="15" t="s">
        <v>618</v>
      </c>
      <c r="C219" s="2" t="s">
        <v>210</v>
      </c>
      <c r="D219" s="2" t="s">
        <v>563</v>
      </c>
      <c r="E219" s="2" t="str">
        <f t="shared" si="24"/>
        <v>CIS</v>
      </c>
      <c r="G219" s="15"/>
      <c r="H219" s="15" t="str">
        <f t="shared" si="22"/>
        <v>.</v>
      </c>
      <c r="J219" s="2" t="s">
        <v>210</v>
      </c>
      <c r="K219" s="2" t="s">
        <v>635</v>
      </c>
      <c r="L219" s="2" t="str">
        <f>VLOOKUP(J219,C219:$E$248,3,FALSE)</f>
        <v>CIS</v>
      </c>
      <c r="M219" s="2" t="str">
        <f t="shared" si="23"/>
        <v>"Tajikistan "</v>
      </c>
      <c r="S219" s="2" t="s">
        <v>854</v>
      </c>
      <c r="T219" s="2" t="s">
        <v>860</v>
      </c>
      <c r="U219" s="2" t="s">
        <v>853</v>
      </c>
      <c r="V219" s="2" t="str">
        <f t="shared" si="26"/>
        <v>"Anguilla"</v>
      </c>
      <c r="W219" s="2" t="s">
        <v>855</v>
      </c>
    </row>
    <row r="220" spans="1:23">
      <c r="A220" s="15" t="s">
        <v>612</v>
      </c>
      <c r="B220" s="15" t="s">
        <v>613</v>
      </c>
      <c r="C220" s="2" t="s">
        <v>214</v>
      </c>
      <c r="D220" s="2" t="s">
        <v>564</v>
      </c>
      <c r="E220" s="2" t="str">
        <f t="shared" si="24"/>
        <v>XSA</v>
      </c>
      <c r="G220" s="15"/>
      <c r="H220" s="15" t="e">
        <f t="shared" si="22"/>
        <v>#N/A</v>
      </c>
      <c r="J220" s="2" t="s">
        <v>214</v>
      </c>
      <c r="K220" s="2" t="s">
        <v>635</v>
      </c>
      <c r="L220" s="2" t="str">
        <f>VLOOKUP(J220,C220:$E$248,3,FALSE)</f>
        <v>XSA</v>
      </c>
      <c r="M220" s="2" t="str">
        <f t="shared" si="23"/>
        <v>"Tokelau "</v>
      </c>
      <c r="S220" s="2" t="s">
        <v>856</v>
      </c>
      <c r="T220" s="2" t="s">
        <v>860</v>
      </c>
      <c r="U220" s="2" t="s">
        <v>853</v>
      </c>
      <c r="V220" s="2" t="str">
        <f t="shared" si="26"/>
        <v>"Montserrat"</v>
      </c>
      <c r="W220" s="2" t="s">
        <v>857</v>
      </c>
    </row>
    <row r="221" spans="1:23" hidden="1">
      <c r="A221" s="15" t="s">
        <v>617</v>
      </c>
      <c r="B221" s="15" t="s">
        <v>618</v>
      </c>
      <c r="C221" s="2" t="s">
        <v>219</v>
      </c>
      <c r="D221" s="2" t="s">
        <v>565</v>
      </c>
      <c r="E221" s="2" t="str">
        <f t="shared" si="24"/>
        <v>CIS</v>
      </c>
      <c r="G221" s="15"/>
      <c r="H221" s="15" t="str">
        <f t="shared" si="22"/>
        <v>.</v>
      </c>
      <c r="J221" s="2" t="s">
        <v>219</v>
      </c>
      <c r="K221" s="2" t="s">
        <v>635</v>
      </c>
      <c r="L221" s="2" t="str">
        <f>VLOOKUP(J221,C221:$E$248,3,FALSE)</f>
        <v>CIS</v>
      </c>
      <c r="M221" s="2" t="str">
        <f t="shared" si="23"/>
        <v>"Turkmenistan "</v>
      </c>
      <c r="S221" s="2" t="s">
        <v>858</v>
      </c>
      <c r="T221" s="2" t="s">
        <v>860</v>
      </c>
      <c r="U221" s="2" t="s">
        <v>850</v>
      </c>
      <c r="V221" s="2" t="str">
        <f t="shared" si="26"/>
        <v>"Palestinian Territory"</v>
      </c>
      <c r="W221" s="2" t="s">
        <v>859</v>
      </c>
    </row>
    <row r="222" spans="1:23" hidden="1">
      <c r="A222" s="15" t="s">
        <v>610</v>
      </c>
      <c r="B222" s="15" t="s">
        <v>611</v>
      </c>
      <c r="C222" s="2" t="s">
        <v>64</v>
      </c>
      <c r="D222" s="2" t="s">
        <v>566</v>
      </c>
      <c r="E222" s="2" t="str">
        <f t="shared" si="24"/>
        <v>XSE</v>
      </c>
      <c r="G222" s="15"/>
      <c r="H222" s="15" t="str">
        <f t="shared" si="22"/>
        <v>.</v>
      </c>
      <c r="J222" s="2" t="s">
        <v>64</v>
      </c>
      <c r="K222" s="2" t="s">
        <v>635</v>
      </c>
      <c r="L222" s="2" t="str">
        <f>VLOOKUP(J222,C222:$E$248,3,FALSE)</f>
        <v>XSE</v>
      </c>
      <c r="M222" s="2" t="str">
        <f t="shared" si="23"/>
        <v>"Timor-Leste "</v>
      </c>
    </row>
    <row r="223" spans="1:23">
      <c r="A223" s="15" t="s">
        <v>612</v>
      </c>
      <c r="B223" s="15" t="s">
        <v>613</v>
      </c>
      <c r="C223" s="2" t="s">
        <v>215</v>
      </c>
      <c r="D223" s="2" t="s">
        <v>567</v>
      </c>
      <c r="E223" s="2" t="str">
        <f t="shared" si="24"/>
        <v>XSA</v>
      </c>
      <c r="G223" s="15"/>
      <c r="H223" s="15" t="str">
        <f t="shared" si="22"/>
        <v>.</v>
      </c>
      <c r="J223" s="2" t="s">
        <v>215</v>
      </c>
      <c r="K223" s="2" t="s">
        <v>635</v>
      </c>
      <c r="L223" s="2" t="str">
        <f>VLOOKUP(J223,C223:$E$248,3,FALSE)</f>
        <v>XSA</v>
      </c>
      <c r="M223" s="2" t="str">
        <f t="shared" si="23"/>
        <v>"Tonga "</v>
      </c>
    </row>
    <row r="224" spans="1:23" hidden="1">
      <c r="A224" s="15" t="s">
        <v>615</v>
      </c>
      <c r="B224" s="15" t="s">
        <v>616</v>
      </c>
      <c r="C224" s="2" t="s">
        <v>216</v>
      </c>
      <c r="D224" s="2" t="s">
        <v>568</v>
      </c>
      <c r="E224" s="2" t="str">
        <f t="shared" si="24"/>
        <v>XLM</v>
      </c>
      <c r="G224" s="15"/>
      <c r="H224" s="15" t="str">
        <f t="shared" si="22"/>
        <v>.</v>
      </c>
      <c r="J224" s="2" t="s">
        <v>216</v>
      </c>
      <c r="K224" s="2" t="s">
        <v>635</v>
      </c>
      <c r="L224" s="2" t="str">
        <f>VLOOKUP(J224,C224:$E$248,3,FALSE)</f>
        <v>XLM</v>
      </c>
      <c r="M224" s="2" t="str">
        <f t="shared" si="23"/>
        <v>"Trinidad and Tobago "</v>
      </c>
    </row>
    <row r="225" spans="1:13" hidden="1">
      <c r="A225" s="15" t="s">
        <v>621</v>
      </c>
      <c r="B225" s="15" t="s">
        <v>622</v>
      </c>
      <c r="C225" s="2" t="s">
        <v>217</v>
      </c>
      <c r="D225" s="2" t="s">
        <v>569</v>
      </c>
      <c r="E225" s="2" t="str">
        <f t="shared" si="24"/>
        <v>XNF</v>
      </c>
      <c r="G225" s="15"/>
      <c r="H225" s="15" t="str">
        <f t="shared" si="22"/>
        <v>.</v>
      </c>
      <c r="J225" s="2" t="s">
        <v>217</v>
      </c>
      <c r="K225" s="2" t="s">
        <v>635</v>
      </c>
      <c r="L225" s="2" t="str">
        <f>VLOOKUP(J225,C225:$E$248,3,FALSE)</f>
        <v>XNF</v>
      </c>
      <c r="M225" s="2" t="str">
        <f t="shared" si="23"/>
        <v>"Tunisia "</v>
      </c>
    </row>
    <row r="226" spans="1:13" hidden="1">
      <c r="A226" s="15" t="s">
        <v>218</v>
      </c>
      <c r="B226" s="15" t="s">
        <v>605</v>
      </c>
      <c r="C226" s="2" t="s">
        <v>218</v>
      </c>
      <c r="D226" s="2" t="s">
        <v>570</v>
      </c>
      <c r="E226" s="2" t="str">
        <f t="shared" si="24"/>
        <v>TUR</v>
      </c>
      <c r="G226" s="15"/>
      <c r="H226" s="15" t="str">
        <f t="shared" si="22"/>
        <v>.</v>
      </c>
      <c r="J226" s="2" t="s">
        <v>218</v>
      </c>
      <c r="K226" s="2" t="s">
        <v>635</v>
      </c>
      <c r="L226" s="2" t="str">
        <f>VLOOKUP(J226,C226:$E$248,3,FALSE)</f>
        <v>TUR</v>
      </c>
      <c r="M226" s="2" t="str">
        <f t="shared" si="23"/>
        <v>"Turkey "</v>
      </c>
    </row>
    <row r="227" spans="1:13">
      <c r="A227" s="15" t="s">
        <v>612</v>
      </c>
      <c r="B227" s="15" t="s">
        <v>613</v>
      </c>
      <c r="C227" s="2" t="s">
        <v>221</v>
      </c>
      <c r="D227" s="2" t="s">
        <v>571</v>
      </c>
      <c r="E227" s="2" t="str">
        <f t="shared" si="24"/>
        <v>XSA</v>
      </c>
      <c r="G227" s="15"/>
      <c r="H227" s="15" t="str">
        <f t="shared" si="22"/>
        <v>.</v>
      </c>
      <c r="J227" s="2" t="s">
        <v>221</v>
      </c>
      <c r="K227" s="2" t="s">
        <v>635</v>
      </c>
      <c r="L227" s="2" t="str">
        <f>VLOOKUP(J227,C227:$E$248,3,FALSE)</f>
        <v>XSA</v>
      </c>
      <c r="M227" s="2" t="str">
        <f t="shared" si="23"/>
        <v>"Tuvalu "</v>
      </c>
    </row>
    <row r="228" spans="1:13" hidden="1">
      <c r="A228" s="15" t="s">
        <v>610</v>
      </c>
      <c r="B228" s="15" t="s">
        <v>611</v>
      </c>
      <c r="C228" s="2" t="s">
        <v>209</v>
      </c>
      <c r="D228" s="2" t="s">
        <v>572</v>
      </c>
      <c r="E228" s="2" t="str">
        <f t="shared" si="24"/>
        <v>XSE</v>
      </c>
      <c r="G228" s="15"/>
      <c r="H228" s="15" t="e">
        <f t="shared" si="22"/>
        <v>#N/A</v>
      </c>
      <c r="J228" s="2" t="s">
        <v>209</v>
      </c>
      <c r="K228" s="2" t="s">
        <v>635</v>
      </c>
      <c r="L228" s="2" t="str">
        <f>VLOOKUP(J228,C228:$E$248,3,FALSE)</f>
        <v>XSE</v>
      </c>
      <c r="M228" s="2" t="str">
        <f t="shared" si="23"/>
        <v>"Taiwan, Province of China "</v>
      </c>
    </row>
    <row r="229" spans="1:13" hidden="1">
      <c r="A229" s="15" t="s">
        <v>623</v>
      </c>
      <c r="B229" s="15" t="s">
        <v>624</v>
      </c>
      <c r="C229" s="2" t="s">
        <v>211</v>
      </c>
      <c r="D229" s="2" t="s">
        <v>573</v>
      </c>
      <c r="E229" s="2" t="str">
        <f t="shared" si="24"/>
        <v>XAF</v>
      </c>
      <c r="G229" s="15"/>
      <c r="H229" s="15" t="str">
        <f t="shared" si="22"/>
        <v>.</v>
      </c>
      <c r="J229" s="2" t="s">
        <v>211</v>
      </c>
      <c r="K229" s="2" t="s">
        <v>635</v>
      </c>
      <c r="L229" s="2" t="str">
        <f>VLOOKUP(J229,C229:$E$248,3,FALSE)</f>
        <v>XAF</v>
      </c>
      <c r="M229" s="2" t="str">
        <f t="shared" si="23"/>
        <v>"Tanzania, United Republic of "</v>
      </c>
    </row>
    <row r="230" spans="1:13" hidden="1">
      <c r="A230" s="15" t="s">
        <v>623</v>
      </c>
      <c r="B230" s="15" t="s">
        <v>624</v>
      </c>
      <c r="C230" s="2" t="s">
        <v>222</v>
      </c>
      <c r="D230" s="2" t="s">
        <v>574</v>
      </c>
      <c r="E230" s="2" t="str">
        <f t="shared" si="24"/>
        <v>XAF</v>
      </c>
      <c r="G230" s="15"/>
      <c r="H230" s="15" t="str">
        <f t="shared" si="22"/>
        <v>.</v>
      </c>
      <c r="J230" s="2" t="s">
        <v>222</v>
      </c>
      <c r="K230" s="2" t="s">
        <v>635</v>
      </c>
      <c r="L230" s="2" t="str">
        <f>VLOOKUP(J230,C230:$E$248,3,FALSE)</f>
        <v>XAF</v>
      </c>
      <c r="M230" s="2" t="str">
        <f t="shared" si="23"/>
        <v>"Uganda "</v>
      </c>
    </row>
    <row r="231" spans="1:13" hidden="1">
      <c r="A231" s="15" t="s">
        <v>617</v>
      </c>
      <c r="B231" s="15" t="s">
        <v>618</v>
      </c>
      <c r="C231" s="2" t="s">
        <v>223</v>
      </c>
      <c r="D231" s="2" t="s">
        <v>575</v>
      </c>
      <c r="E231" s="2" t="str">
        <f t="shared" si="24"/>
        <v>CIS</v>
      </c>
      <c r="G231" s="15"/>
      <c r="H231" s="15" t="str">
        <f t="shared" si="22"/>
        <v>.</v>
      </c>
      <c r="J231" s="2" t="s">
        <v>223</v>
      </c>
      <c r="K231" s="2" t="s">
        <v>635</v>
      </c>
      <c r="L231" s="2" t="str">
        <f>VLOOKUP(J231,C231:$E$248,3,FALSE)</f>
        <v>CIS</v>
      </c>
      <c r="M231" s="2" t="str">
        <f t="shared" si="23"/>
        <v>"Ukraine "</v>
      </c>
    </row>
    <row r="232" spans="1:13">
      <c r="A232" s="15" t="s">
        <v>612</v>
      </c>
      <c r="B232" s="15" t="s">
        <v>613</v>
      </c>
      <c r="C232" s="2" t="s">
        <v>227</v>
      </c>
      <c r="D232" s="2" t="s">
        <v>576</v>
      </c>
      <c r="E232" s="2" t="str">
        <f t="shared" si="24"/>
        <v>XSA</v>
      </c>
      <c r="G232" s="15"/>
      <c r="H232" s="15" t="e">
        <f t="shared" si="22"/>
        <v>#N/A</v>
      </c>
      <c r="J232" s="2" t="s">
        <v>227</v>
      </c>
      <c r="K232" s="2" t="s">
        <v>635</v>
      </c>
      <c r="L232" s="2" t="str">
        <f>VLOOKUP(J232,C232:$E$248,3,FALSE)</f>
        <v>XSA</v>
      </c>
      <c r="M232" s="2" t="str">
        <f t="shared" si="23"/>
        <v>"United States Minor Outlying Islands "</v>
      </c>
    </row>
    <row r="233" spans="1:13" hidden="1">
      <c r="A233" s="15" t="s">
        <v>615</v>
      </c>
      <c r="B233" s="15" t="s">
        <v>616</v>
      </c>
      <c r="C233" s="2" t="s">
        <v>228</v>
      </c>
      <c r="D233" s="2" t="s">
        <v>577</v>
      </c>
      <c r="E233" s="2" t="str">
        <f t="shared" si="24"/>
        <v>XLM</v>
      </c>
      <c r="G233" s="15"/>
      <c r="H233" s="15" t="str">
        <f t="shared" si="22"/>
        <v>.</v>
      </c>
      <c r="J233" s="2" t="s">
        <v>228</v>
      </c>
      <c r="K233" s="2" t="s">
        <v>635</v>
      </c>
      <c r="L233" s="2" t="str">
        <f>VLOOKUP(J233,C233:$E$248,3,FALSE)</f>
        <v>XLM</v>
      </c>
      <c r="M233" s="2" t="str">
        <f t="shared" si="23"/>
        <v>"Uruguay "</v>
      </c>
    </row>
    <row r="234" spans="1:13" hidden="1">
      <c r="A234" s="15" t="s">
        <v>226</v>
      </c>
      <c r="B234" s="15" t="s">
        <v>226</v>
      </c>
      <c r="C234" s="2" t="s">
        <v>226</v>
      </c>
      <c r="D234" s="2" t="s">
        <v>578</v>
      </c>
      <c r="E234" s="2" t="str">
        <f t="shared" si="24"/>
        <v>USA</v>
      </c>
      <c r="G234" s="15"/>
      <c r="H234" s="15" t="str">
        <f t="shared" si="22"/>
        <v>.</v>
      </c>
      <c r="J234" s="2" t="s">
        <v>226</v>
      </c>
      <c r="K234" s="2" t="s">
        <v>635</v>
      </c>
      <c r="L234" s="2" t="str">
        <f>VLOOKUP(J234,C234:$E$248,3,FALSE)</f>
        <v>USA</v>
      </c>
      <c r="M234" s="2" t="str">
        <f t="shared" si="23"/>
        <v>"United States "</v>
      </c>
    </row>
    <row r="235" spans="1:13" hidden="1">
      <c r="A235" s="15" t="s">
        <v>617</v>
      </c>
      <c r="B235" s="15" t="s">
        <v>618</v>
      </c>
      <c r="C235" s="2" t="s">
        <v>229</v>
      </c>
      <c r="D235" s="2" t="s">
        <v>579</v>
      </c>
      <c r="E235" s="2" t="str">
        <f t="shared" si="24"/>
        <v>CIS</v>
      </c>
      <c r="G235" s="15"/>
      <c r="H235" s="15" t="str">
        <f t="shared" si="22"/>
        <v>.</v>
      </c>
      <c r="J235" s="2" t="s">
        <v>229</v>
      </c>
      <c r="K235" s="2" t="s">
        <v>635</v>
      </c>
      <c r="L235" s="2" t="str">
        <f>VLOOKUP(J235,C235:$E$248,3,FALSE)</f>
        <v>CIS</v>
      </c>
      <c r="M235" s="2" t="str">
        <f t="shared" si="23"/>
        <v>"Uzbekistan "</v>
      </c>
    </row>
    <row r="236" spans="1:13" hidden="1">
      <c r="A236" s="15" t="s">
        <v>603</v>
      </c>
      <c r="B236" s="15" t="s">
        <v>604</v>
      </c>
      <c r="C236" s="2" t="s">
        <v>97</v>
      </c>
      <c r="D236" s="2" t="s">
        <v>580</v>
      </c>
      <c r="E236" s="2" t="str">
        <f t="shared" si="24"/>
        <v>XER</v>
      </c>
      <c r="G236" s="15"/>
      <c r="H236" s="15" t="e">
        <f t="shared" si="22"/>
        <v>#N/A</v>
      </c>
      <c r="J236" s="2" t="s">
        <v>97</v>
      </c>
      <c r="K236" s="2" t="s">
        <v>635</v>
      </c>
      <c r="L236" s="2" t="str">
        <f>VLOOKUP(J236,C236:$E$248,3,FALSE)</f>
        <v>XER</v>
      </c>
      <c r="M236" s="2" t="str">
        <f t="shared" si="23"/>
        <v>"Holy See (Vatican City State) "</v>
      </c>
    </row>
    <row r="237" spans="1:13" hidden="1">
      <c r="A237" s="15" t="s">
        <v>615</v>
      </c>
      <c r="B237" s="15" t="s">
        <v>616</v>
      </c>
      <c r="C237" s="2" t="s">
        <v>185</v>
      </c>
      <c r="D237" s="2" t="s">
        <v>581</v>
      </c>
      <c r="E237" s="2" t="str">
        <f t="shared" si="24"/>
        <v>XLM</v>
      </c>
      <c r="G237" s="15"/>
      <c r="H237" s="15" t="str">
        <f t="shared" si="22"/>
        <v>.</v>
      </c>
      <c r="J237" s="2" t="s">
        <v>185</v>
      </c>
      <c r="K237" s="2" t="s">
        <v>635</v>
      </c>
      <c r="L237" s="2" t="str">
        <f>VLOOKUP(J237,C237:$E$248,3,FALSE)</f>
        <v>XLM</v>
      </c>
      <c r="M237" s="2" t="str">
        <f t="shared" si="23"/>
        <v>"Saint Vincent and the Grenadines "</v>
      </c>
    </row>
    <row r="238" spans="1:13" hidden="1">
      <c r="A238" s="15" t="s">
        <v>615</v>
      </c>
      <c r="B238" s="15" t="s">
        <v>616</v>
      </c>
      <c r="C238" s="2" t="s">
        <v>231</v>
      </c>
      <c r="D238" s="2" t="s">
        <v>582</v>
      </c>
      <c r="E238" s="2" t="str">
        <f t="shared" si="24"/>
        <v>XLM</v>
      </c>
      <c r="G238" s="15"/>
      <c r="H238" s="15" t="str">
        <f t="shared" si="22"/>
        <v>.</v>
      </c>
      <c r="J238" s="2" t="s">
        <v>231</v>
      </c>
      <c r="K238" s="2" t="s">
        <v>635</v>
      </c>
      <c r="L238" s="2" t="str">
        <f>VLOOKUP(J238,C238:$E$248,3,FALSE)</f>
        <v>XLM</v>
      </c>
      <c r="M238" s="2" t="str">
        <f t="shared" si="23"/>
        <v>"Venezuela, Bolivarian Republic of "</v>
      </c>
    </row>
    <row r="239" spans="1:13" hidden="1">
      <c r="A239" s="15" t="s">
        <v>615</v>
      </c>
      <c r="B239" s="15" t="s">
        <v>616</v>
      </c>
      <c r="C239" s="2" t="s">
        <v>233</v>
      </c>
      <c r="D239" s="2" t="s">
        <v>583</v>
      </c>
      <c r="E239" s="2" t="str">
        <f t="shared" si="24"/>
        <v>XLM</v>
      </c>
      <c r="G239" s="15"/>
      <c r="H239" s="15" t="str">
        <f t="shared" si="22"/>
        <v>.</v>
      </c>
      <c r="J239" s="2" t="s">
        <v>233</v>
      </c>
      <c r="K239" s="2" t="s">
        <v>635</v>
      </c>
      <c r="L239" s="2" t="str">
        <f>VLOOKUP(J239,C239:$E$248,3,FALSE)</f>
        <v>XLM</v>
      </c>
      <c r="M239" s="2" t="str">
        <f t="shared" si="23"/>
        <v>"Virgin Islands, British "</v>
      </c>
    </row>
    <row r="240" spans="1:13" hidden="1">
      <c r="A240" s="15" t="s">
        <v>615</v>
      </c>
      <c r="B240" s="15" t="s">
        <v>616</v>
      </c>
      <c r="C240" s="2" t="s">
        <v>234</v>
      </c>
      <c r="D240" s="2" t="s">
        <v>584</v>
      </c>
      <c r="E240" s="2" t="str">
        <f t="shared" si="24"/>
        <v>XLM</v>
      </c>
      <c r="G240" s="15"/>
      <c r="H240" s="15" t="str">
        <f t="shared" si="22"/>
        <v>.</v>
      </c>
      <c r="J240" s="2" t="s">
        <v>234</v>
      </c>
      <c r="K240" s="2" t="s">
        <v>635</v>
      </c>
      <c r="L240" s="2" t="str">
        <f>VLOOKUP(J240,C240:$E$248,3,FALSE)</f>
        <v>XLM</v>
      </c>
      <c r="M240" s="2" t="str">
        <f t="shared" si="23"/>
        <v>"Virgin Islands, U.S. "</v>
      </c>
    </row>
    <row r="241" spans="1:13" hidden="1">
      <c r="A241" s="15" t="s">
        <v>610</v>
      </c>
      <c r="B241" s="15" t="s">
        <v>611</v>
      </c>
      <c r="C241" s="2" t="s">
        <v>232</v>
      </c>
      <c r="D241" s="2" t="s">
        <v>336</v>
      </c>
      <c r="E241" s="2" t="str">
        <f t="shared" si="24"/>
        <v>XSE</v>
      </c>
      <c r="H241" s="15" t="str">
        <f t="shared" si="22"/>
        <v>.</v>
      </c>
      <c r="J241" s="2" t="s">
        <v>232</v>
      </c>
      <c r="K241" s="2" t="s">
        <v>635</v>
      </c>
      <c r="L241" s="2" t="str">
        <f>VLOOKUP(J241,C241:$E$248,3,FALSE)</f>
        <v>XSE</v>
      </c>
      <c r="M241" s="2" t="str">
        <f t="shared" si="23"/>
        <v>"Viet Nam "</v>
      </c>
    </row>
    <row r="242" spans="1:13">
      <c r="A242" s="15" t="s">
        <v>612</v>
      </c>
      <c r="B242" s="15" t="s">
        <v>613</v>
      </c>
      <c r="C242" s="2" t="s">
        <v>230</v>
      </c>
      <c r="D242" s="2" t="s">
        <v>585</v>
      </c>
      <c r="E242" s="2" t="str">
        <f t="shared" si="24"/>
        <v>XSA</v>
      </c>
      <c r="H242" s="15" t="str">
        <f t="shared" si="22"/>
        <v>.</v>
      </c>
      <c r="J242" s="2" t="s">
        <v>230</v>
      </c>
      <c r="K242" s="2" t="s">
        <v>635</v>
      </c>
      <c r="L242" s="2" t="str">
        <f>VLOOKUP(J242,C242:$E$248,3,FALSE)</f>
        <v>XSA</v>
      </c>
      <c r="M242" s="2" t="str">
        <f t="shared" si="23"/>
        <v>"Vanuatu "</v>
      </c>
    </row>
    <row r="243" spans="1:13">
      <c r="A243" s="15" t="s">
        <v>612</v>
      </c>
      <c r="B243" s="15" t="s">
        <v>613</v>
      </c>
      <c r="C243" s="2" t="s">
        <v>235</v>
      </c>
      <c r="D243" s="2" t="s">
        <v>586</v>
      </c>
      <c r="E243" s="2" t="str">
        <f t="shared" si="24"/>
        <v>XSA</v>
      </c>
      <c r="H243" s="15" t="e">
        <f t="shared" si="22"/>
        <v>#N/A</v>
      </c>
      <c r="J243" s="2" t="s">
        <v>235</v>
      </c>
      <c r="K243" s="2" t="s">
        <v>635</v>
      </c>
      <c r="L243" s="2" t="str">
        <f>VLOOKUP(J243,C243:$E$248,3,FALSE)</f>
        <v>XSA</v>
      </c>
      <c r="M243" s="2" t="str">
        <f t="shared" si="23"/>
        <v>"Wallis and Futuna "</v>
      </c>
    </row>
    <row r="244" spans="1:13">
      <c r="A244" s="15" t="s">
        <v>612</v>
      </c>
      <c r="B244" s="15" t="s">
        <v>613</v>
      </c>
      <c r="C244" s="2" t="s">
        <v>186</v>
      </c>
      <c r="D244" s="2" t="s">
        <v>587</v>
      </c>
      <c r="E244" s="2" t="str">
        <f t="shared" si="24"/>
        <v>XSA</v>
      </c>
      <c r="H244" s="15" t="str">
        <f t="shared" si="22"/>
        <v>.</v>
      </c>
      <c r="J244" s="2" t="s">
        <v>186</v>
      </c>
      <c r="K244" s="2" t="s">
        <v>635</v>
      </c>
      <c r="L244" s="2" t="str">
        <f>VLOOKUP(J244,C244:$E$248,3,FALSE)</f>
        <v>XSA</v>
      </c>
      <c r="M244" s="2" t="str">
        <f t="shared" si="23"/>
        <v>"Samoa "</v>
      </c>
    </row>
    <row r="245" spans="1:13" hidden="1">
      <c r="A245" s="15" t="s">
        <v>619</v>
      </c>
      <c r="B245" s="15" t="s">
        <v>620</v>
      </c>
      <c r="C245" s="2" t="s">
        <v>237</v>
      </c>
      <c r="D245" s="2" t="s">
        <v>588</v>
      </c>
      <c r="E245" s="2" t="str">
        <f t="shared" si="24"/>
        <v>XME</v>
      </c>
      <c r="H245" s="15" t="str">
        <f t="shared" si="22"/>
        <v>.</v>
      </c>
      <c r="J245" s="2" t="s">
        <v>237</v>
      </c>
      <c r="K245" s="2" t="s">
        <v>635</v>
      </c>
      <c r="L245" s="2" t="str">
        <f>VLOOKUP(J245,C245:$E$248,3,FALSE)</f>
        <v>XME</v>
      </c>
      <c r="M245" s="2" t="str">
        <f t="shared" si="23"/>
        <v>"Yemen "</v>
      </c>
    </row>
    <row r="246" spans="1:13" hidden="1">
      <c r="A246" s="15" t="s">
        <v>623</v>
      </c>
      <c r="B246" s="15" t="s">
        <v>624</v>
      </c>
      <c r="C246" s="2" t="s">
        <v>198</v>
      </c>
      <c r="D246" s="2" t="s">
        <v>589</v>
      </c>
      <c r="E246" s="2" t="str">
        <f t="shared" si="24"/>
        <v>XAF</v>
      </c>
      <c r="H246" s="15" t="str">
        <f t="shared" si="22"/>
        <v>.</v>
      </c>
      <c r="J246" s="2" t="s">
        <v>198</v>
      </c>
      <c r="K246" s="2" t="s">
        <v>635</v>
      </c>
      <c r="L246" s="2" t="str">
        <f>VLOOKUP(J246,C246:$E$248,3,FALSE)</f>
        <v>XAF</v>
      </c>
      <c r="M246" s="2" t="str">
        <f t="shared" si="23"/>
        <v>"South Africa "</v>
      </c>
    </row>
    <row r="247" spans="1:13" hidden="1">
      <c r="A247" s="15" t="s">
        <v>623</v>
      </c>
      <c r="B247" s="15" t="s">
        <v>624</v>
      </c>
      <c r="C247" s="2" t="s">
        <v>238</v>
      </c>
      <c r="D247" s="2" t="s">
        <v>590</v>
      </c>
      <c r="E247" s="2" t="str">
        <f t="shared" si="24"/>
        <v>XAF</v>
      </c>
      <c r="H247" s="15" t="str">
        <f t="shared" si="22"/>
        <v>.</v>
      </c>
      <c r="J247" s="2" t="s">
        <v>238</v>
      </c>
      <c r="K247" s="2" t="s">
        <v>635</v>
      </c>
      <c r="L247" s="2" t="str">
        <f>VLOOKUP(J247,C247:$E$248,3,FALSE)</f>
        <v>XAF</v>
      </c>
      <c r="M247" s="2" t="str">
        <f t="shared" si="23"/>
        <v>"Zambia "</v>
      </c>
    </row>
    <row r="248" spans="1:13" hidden="1">
      <c r="A248" s="15" t="s">
        <v>623</v>
      </c>
      <c r="B248" s="15" t="s">
        <v>624</v>
      </c>
      <c r="C248" s="2" t="s">
        <v>239</v>
      </c>
      <c r="D248" s="2" t="s">
        <v>591</v>
      </c>
      <c r="E248" s="2" t="str">
        <f t="shared" si="24"/>
        <v>XAF</v>
      </c>
      <c r="H248" s="15" t="str">
        <f t="shared" si="22"/>
        <v>.</v>
      </c>
      <c r="J248" s="2" t="s">
        <v>239</v>
      </c>
      <c r="K248" s="2" t="s">
        <v>635</v>
      </c>
      <c r="L248" s="2" t="str">
        <f>VLOOKUP(J248,C248:$E$248,3,FALSE)</f>
        <v>XAF</v>
      </c>
      <c r="M248" s="2" t="str">
        <f t="shared" si="23"/>
        <v>"Zimbabwe "</v>
      </c>
    </row>
  </sheetData>
  <autoFilter ref="A1:W248" xr:uid="{00000000-0001-0000-0500-000000000000}">
    <filterColumn colId="1">
      <filters>
        <filter val="Rest of Asia"/>
      </filters>
    </filterColumn>
  </autoFilter>
  <sortState xmlns:xlrd2="http://schemas.microsoft.com/office/spreadsheetml/2017/richdata2" ref="H2:M248">
    <sortCondition ref="H2:H248"/>
  </sortState>
  <phoneticPr fontId="11"/>
  <pageMargins left="0.78700000000000003" right="0.78700000000000003" top="0.98399999999999999" bottom="0.98399999999999999" header="0.5" footer="0.5"/>
  <pageSetup paperSize="9"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BA4ED752EBF04AB662260C7FCE73C8" ma:contentTypeVersion="0" ma:contentTypeDescription="Create a new document." ma:contentTypeScope="" ma:versionID="584d0acb1e9da33a2fc3bd4e23dcdd4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FDABA8-ECEB-4A2C-A0EC-3A94369EAD0E}">
  <ds:schemaRefs>
    <ds:schemaRef ds:uri="http://schemas.microsoft.com/sharepoint/v3/contenttype/forms"/>
  </ds:schemaRefs>
</ds:datastoreItem>
</file>

<file path=customXml/itemProps2.xml><?xml version="1.0" encoding="utf-8"?>
<ds:datastoreItem xmlns:ds="http://schemas.openxmlformats.org/officeDocument/2006/customXml" ds:itemID="{9668AA29-B26F-4055-8A14-179024734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FCCCD31-E571-444A-9053-5753C9C35901}">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model regions</vt:lpstr>
      <vt:lpstr>region aggregation</vt:lpstr>
      <vt:lpstr>regional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2024-09-03T08:39:43Z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0x01010034BA4ED752EBF04AB662260C7FCE73C8</vt:lpwstr>
  </property>
</Properties>
</file>